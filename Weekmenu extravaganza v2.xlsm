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k\Documents\Own\weekmenu\"/>
    </mc:Choice>
  </mc:AlternateContent>
  <xr:revisionPtr revIDLastSave="0" documentId="13_ncr:1_{27EC076A-3D9F-487A-9D4C-EC48E91946E0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Weekplanner" sheetId="1" r:id="rId1"/>
    <sheet name="Blad1" sheetId="4" r:id="rId2"/>
    <sheet name="Wensenlijst" sheetId="3" r:id="rId3"/>
    <sheet name="Database" sheetId="2" r:id="rId4"/>
    <sheet name="Blad2" sheetId="5" r:id="rId5"/>
  </sheets>
  <definedNames>
    <definedName name="_xlnm._FilterDatabase" localSheetId="1" hidden="1">Blad1!$A$1:$C$83</definedName>
    <definedName name="_xlnm._FilterDatabase" localSheetId="4" hidden="1">Blad2!$A$1:$A$170</definedName>
    <definedName name="_xlnm._FilterDatabase" localSheetId="0" hidden="1">Weekplanner!$D$1:$F$82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35" i="2" l="1"/>
  <c r="C834" i="2"/>
  <c r="C637" i="2"/>
  <c r="C161" i="2"/>
  <c r="C160" i="2"/>
  <c r="C158" i="2"/>
  <c r="C157" i="2"/>
  <c r="C156" i="2"/>
  <c r="C155" i="2"/>
  <c r="C154" i="2"/>
  <c r="C153" i="2"/>
  <c r="C151" i="2"/>
  <c r="C150" i="2"/>
</calcChain>
</file>

<file path=xl/sharedStrings.xml><?xml version="1.0" encoding="utf-8"?>
<sst xmlns="http://schemas.openxmlformats.org/spreadsheetml/2006/main" count="3200" uniqueCount="557">
  <si>
    <t>Dag</t>
  </si>
  <si>
    <t>Gerecht</t>
  </si>
  <si>
    <t>Aantal personen</t>
  </si>
  <si>
    <t>Ingredient</t>
  </si>
  <si>
    <t>Hoeveelheid</t>
  </si>
  <si>
    <t>Receptnaam</t>
  </si>
  <si>
    <t>Zaterdag</t>
  </si>
  <si>
    <t>Ovenschotel van tortellini met pesto en geroosterde tomaatjes</t>
  </si>
  <si>
    <t>Kipfilet</t>
  </si>
  <si>
    <t>AGV(ega)</t>
  </si>
  <si>
    <t>Zondag</t>
  </si>
  <si>
    <t>Verse tomatensoep</t>
  </si>
  <si>
    <t>L</t>
  </si>
  <si>
    <t>Broccoli</t>
  </si>
  <si>
    <t>250 gram</t>
  </si>
  <si>
    <t>Bami (snelle)</t>
  </si>
  <si>
    <t>Maandag</t>
  </si>
  <si>
    <t>Pasta spinazie</t>
  </si>
  <si>
    <t>Broccolirijst</t>
  </si>
  <si>
    <t>200 gram</t>
  </si>
  <si>
    <t>Bietenstamppot</t>
  </si>
  <si>
    <t>Dinsdag</t>
  </si>
  <si>
    <t>Bulgurpilav</t>
  </si>
  <si>
    <t>Champignons</t>
  </si>
  <si>
    <t>100 gram</t>
  </si>
  <si>
    <t>Borrelplank</t>
  </si>
  <si>
    <t>Woensdag</t>
  </si>
  <si>
    <t>Gnocchi-ovenschotel met courgette</t>
  </si>
  <si>
    <t>Cherrytomaatjes</t>
  </si>
  <si>
    <t>Broccolisoep met kaascroutons</t>
  </si>
  <si>
    <t>Donderdag</t>
  </si>
  <si>
    <t>Röstiroerbak met broccoli en gehaktballetjes</t>
  </si>
  <si>
    <t>Cherrytomaatjes (aan tak)</t>
  </si>
  <si>
    <t>Broccolivlecht</t>
  </si>
  <si>
    <t>Vrijdag</t>
  </si>
  <si>
    <t>Nachoschotel met pulled chicken van Simon</t>
  </si>
  <si>
    <t>Courgette</t>
  </si>
  <si>
    <t>Broodje ei</t>
  </si>
  <si>
    <t>Paprika</t>
  </si>
  <si>
    <t>Broodje hamburger</t>
  </si>
  <si>
    <t>Tomaatjes</t>
  </si>
  <si>
    <t>Broodje kipburger met rosevalpatat</t>
  </si>
  <si>
    <t>Tomaten</t>
  </si>
  <si>
    <t>500 gram</t>
  </si>
  <si>
    <t>Broodje kroket</t>
  </si>
  <si>
    <t>Ui</t>
  </si>
  <si>
    <t>Butter chicken</t>
  </si>
  <si>
    <t>(Ingeblikt fruit)</t>
  </si>
  <si>
    <t>Crispy 'bang bang' bloemkool</t>
  </si>
  <si>
    <t>(Maïs)</t>
  </si>
  <si>
    <t>Drie-tomatensoep met zelfgemaakte kaascroutons</t>
  </si>
  <si>
    <t>(Zwarte bonen)</t>
  </si>
  <si>
    <t>Frittata met aardappel, courgette en knoflookkruim</t>
  </si>
  <si>
    <t>Barbecuesaus</t>
  </si>
  <si>
    <t>Fu yung hai</t>
  </si>
  <si>
    <t>Bulgur</t>
  </si>
  <si>
    <t>Gado-Gado</t>
  </si>
  <si>
    <t>Gazpacho van tomaat en paprika met knoflooktoast</t>
  </si>
  <si>
    <t>Eieren</t>
  </si>
  <si>
    <t>2 stuks</t>
  </si>
  <si>
    <t>Gebakken gnocchi met room, spek en rozemarijn</t>
  </si>
  <si>
    <t>Garlan</t>
  </si>
  <si>
    <t>Gepoftepaprikasoep met aioli</t>
  </si>
  <si>
    <t>Geraspte (cheddar)kaas</t>
  </si>
  <si>
    <t>Gerooktewortelsoep</t>
  </si>
  <si>
    <t>Gnocchi</t>
  </si>
  <si>
    <t>Gevulde paprika met kipsaté</t>
  </si>
  <si>
    <t>Kidneybonen</t>
  </si>
  <si>
    <t>Gevulde paprika met parelcouscous</t>
  </si>
  <si>
    <t>Kookzuivel</t>
  </si>
  <si>
    <t>Gezonde rösti-ovenschotel</t>
  </si>
  <si>
    <t>Maïs</t>
  </si>
  <si>
    <t>Mozzarella</t>
  </si>
  <si>
    <t>0,5 stuks</t>
  </si>
  <si>
    <t>Griekse kip uit de airfryer</t>
  </si>
  <si>
    <t>Hachee</t>
  </si>
  <si>
    <t>Parmezaan</t>
  </si>
  <si>
    <t>Insalata peperoni</t>
  </si>
  <si>
    <t>Spinazie (ingevroren)</t>
  </si>
  <si>
    <t>Italiaans gehaktbrood (polpettone)</t>
  </si>
  <si>
    <t>Stokbrood</t>
  </si>
  <si>
    <t>1 stuks</t>
  </si>
  <si>
    <t>Katsudon met kip</t>
  </si>
  <si>
    <t>Tomatenblokjes</t>
  </si>
  <si>
    <t>Kip met sesamkorst, geroosterde groenten en knoflookgemberrijst</t>
  </si>
  <si>
    <t>400 gram</t>
  </si>
  <si>
    <t>Kip tandoori</t>
  </si>
  <si>
    <t>Tomatenpuree</t>
  </si>
  <si>
    <t>1 blikje</t>
  </si>
  <si>
    <t>Kipsalon met (zoete) aardappel, veldsla en tzatziki</t>
  </si>
  <si>
    <t>Tortellini spinaci e ricotta</t>
  </si>
  <si>
    <t>Lasagne naturel zonder pakje</t>
  </si>
  <si>
    <t>Tortilla chips</t>
  </si>
  <si>
    <t>Lasagne uit de hemel</t>
  </si>
  <si>
    <t>(Kruiden)</t>
  </si>
  <si>
    <t>Lazy pasta</t>
  </si>
  <si>
    <t>Basilicum</t>
  </si>
  <si>
    <t>Maaltijdsalade mango, avocado, gerookte kip, gele paprika en bosui</t>
  </si>
  <si>
    <t>Bosui</t>
  </si>
  <si>
    <t>Mac 'n' cheese met broccoli</t>
  </si>
  <si>
    <t>Bouillonblokje</t>
  </si>
  <si>
    <t>Mac 'n' cheese met chorizo en bloemkool</t>
  </si>
  <si>
    <t>Mama's wortelsalade</t>
  </si>
  <si>
    <t>Gebraden kipfilet (italiaans gekruid)</t>
  </si>
  <si>
    <t>150 gram</t>
  </si>
  <si>
    <t>Mexicaanse taart</t>
  </si>
  <si>
    <t>Gedroogde rozemarijn</t>
  </si>
  <si>
    <t>0,5 eetlepel</t>
  </si>
  <si>
    <t>Gehaktballetjes</t>
  </si>
  <si>
    <t>Nacho-traybake met gehaktballetjes</t>
  </si>
  <si>
    <t>Groentebouillon</t>
  </si>
  <si>
    <t>Orzo met broccoli en Parmezaanse kaas</t>
  </si>
  <si>
    <t>Knoflook</t>
  </si>
  <si>
    <t>Orzo met citroen en kip</t>
  </si>
  <si>
    <t>Orzo met gehaktballetjes</t>
  </si>
  <si>
    <t>Laurierblad</t>
  </si>
  <si>
    <t>Orzo met pesto en kip</t>
  </si>
  <si>
    <t>Milde Olie</t>
  </si>
  <si>
    <t>Olie</t>
  </si>
  <si>
    <t>Pannenkoeken</t>
  </si>
  <si>
    <t>Pasta</t>
  </si>
  <si>
    <t>Panzanella</t>
  </si>
  <si>
    <t>Pesto alla genovese</t>
  </si>
  <si>
    <t>Panzanella met mini-mozzarella</t>
  </si>
  <si>
    <t>Vermicelli</t>
  </si>
  <si>
    <t>50 gram</t>
  </si>
  <si>
    <t>Pasta carbonara met tomatensalade</t>
  </si>
  <si>
    <t>Pasta pesto met broccoli en knoflookkruim</t>
  </si>
  <si>
    <t>Verse basilicum</t>
  </si>
  <si>
    <t>Pastasalade pesto met burrata</t>
  </si>
  <si>
    <t>Patat</t>
  </si>
  <si>
    <t>Patatas bravas</t>
  </si>
  <si>
    <t>Patatas bravas met kip piri piri</t>
  </si>
  <si>
    <t>Plaatpizza met aardappel</t>
  </si>
  <si>
    <t>Pokébowl gerookte kip en mandarijn</t>
  </si>
  <si>
    <t>Pokébowl klassiek</t>
  </si>
  <si>
    <t>Pokébowl met watermeloen</t>
  </si>
  <si>
    <t>Quiche caprese</t>
  </si>
  <si>
    <t>Ravioliovenschotel</t>
  </si>
  <si>
    <t>Regenbooglasagne</t>
  </si>
  <si>
    <t>Rijst K3</t>
  </si>
  <si>
    <t>Rijstroerbak met kip in satésaus</t>
  </si>
  <si>
    <t>Shakshouka van Elze</t>
  </si>
  <si>
    <t>Stamppot andijvie</t>
  </si>
  <si>
    <t>Stamppot rode kool met gehakt en speculaaskruiden</t>
  </si>
  <si>
    <t>Tagliatelle alla carbonara met doperwten</t>
  </si>
  <si>
    <t>Tagliatelle met kalkoenfilet en parmaham</t>
  </si>
  <si>
    <t>Thaise komkommersalade</t>
  </si>
  <si>
    <t>Tomatenrijst met kip en spinazie</t>
  </si>
  <si>
    <t>Tortellini uit de oven (vega)</t>
  </si>
  <si>
    <t>Tortellini van Sanne</t>
  </si>
  <si>
    <t>Tortellinisoep van Dila</t>
  </si>
  <si>
    <t>Traybake met zoete aardappel en pinda-limoendressing</t>
  </si>
  <si>
    <t>Traybake van kipdrumsticks, krieltjes en bloemkool</t>
  </si>
  <si>
    <t>Traybake van runderchipolata, zoete aardappel en broccoli</t>
  </si>
  <si>
    <t>Verspakket</t>
  </si>
  <si>
    <t>Wraps met gerookte kip en avocado</t>
  </si>
  <si>
    <t>Wraps met kip en jalapeñomayonaise</t>
  </si>
  <si>
    <t>Wraps saté</t>
  </si>
  <si>
    <t>Zomerse pastasalade met gerookte kipfilet</t>
  </si>
  <si>
    <t>Avocado</t>
  </si>
  <si>
    <t>Een groente</t>
  </si>
  <si>
    <t>2 teentjes</t>
  </si>
  <si>
    <t>Komkommer</t>
  </si>
  <si>
    <t>0,25 stuks</t>
  </si>
  <si>
    <t>Mango</t>
  </si>
  <si>
    <t>Rozemarijn</t>
  </si>
  <si>
    <t>1 takje</t>
  </si>
  <si>
    <t>Wortels</t>
  </si>
  <si>
    <t>x</t>
  </si>
  <si>
    <t>(Vega)vlees</t>
  </si>
  <si>
    <t>Aardappels (vastkokend)</t>
  </si>
  <si>
    <t>Cheddar</t>
  </si>
  <si>
    <t>60 gram</t>
  </si>
  <si>
    <t>Gemberpoeder</t>
  </si>
  <si>
    <t>0,25 theelepel</t>
  </si>
  <si>
    <t>Italiaanse bollen</t>
  </si>
  <si>
    <t>Kip(dij)filet</t>
  </si>
  <si>
    <t>Kippendijfilet</t>
  </si>
  <si>
    <t>Kipschnitzels</t>
  </si>
  <si>
    <t>3 eetlepel</t>
  </si>
  <si>
    <t>Rijst</t>
  </si>
  <si>
    <t>Rode ui</t>
  </si>
  <si>
    <t>0,75 stuks</t>
  </si>
  <si>
    <t>Roseval</t>
  </si>
  <si>
    <t>300 gram</t>
  </si>
  <si>
    <t>Satésaus</t>
  </si>
  <si>
    <t>Sesamolie</t>
  </si>
  <si>
    <t>Sesamzaad</t>
  </si>
  <si>
    <t>2 eetlepel</t>
  </si>
  <si>
    <t>Sla</t>
  </si>
  <si>
    <t>Snacks</t>
  </si>
  <si>
    <t>4 stuks</t>
  </si>
  <si>
    <t>Sojasaus</t>
  </si>
  <si>
    <t>1,5 eetlepel</t>
  </si>
  <si>
    <t>Suiker</t>
  </si>
  <si>
    <t>Tortillawraps</t>
  </si>
  <si>
    <t>6 stuks</t>
  </si>
  <si>
    <t>Vloeibare honing</t>
  </si>
  <si>
    <t>recepten met tags (recepten op andere pagina)</t>
  </si>
  <si>
    <t>ingredienten sorteren per winkel</t>
  </si>
  <si>
    <t>mooi maken</t>
  </si>
  <si>
    <t>foutmelding wanneer recept niet bestaat</t>
  </si>
  <si>
    <t>lijstmaker: lege dagen overslaan</t>
  </si>
  <si>
    <t>Ingrediënt</t>
  </si>
  <si>
    <t>Hoeveelheid per persoon</t>
  </si>
  <si>
    <t>Eenheid</t>
  </si>
  <si>
    <t>Tags</t>
  </si>
  <si>
    <t>gram</t>
  </si>
  <si>
    <t>Kipgehakt</t>
  </si>
  <si>
    <t>Geraspte kaas</t>
  </si>
  <si>
    <t>Bladerdeeg</t>
  </si>
  <si>
    <t>rollen</t>
  </si>
  <si>
    <t>eetlepel</t>
  </si>
  <si>
    <t>Pruimtomaten</t>
  </si>
  <si>
    <t>stuks</t>
  </si>
  <si>
    <t>Honing</t>
  </si>
  <si>
    <t>Balsamicoazijn</t>
  </si>
  <si>
    <t>theelepel</t>
  </si>
  <si>
    <t>Mosterd</t>
  </si>
  <si>
    <t>Mayonaise</t>
  </si>
  <si>
    <t>Vega, veel tijd</t>
  </si>
  <si>
    <t>Chilisaus</t>
  </si>
  <si>
    <t>Wittewijnazijn</t>
  </si>
  <si>
    <t>Panko</t>
  </si>
  <si>
    <t>Bloemkool</t>
  </si>
  <si>
    <t>teentjes</t>
  </si>
  <si>
    <t>Spinazie</t>
  </si>
  <si>
    <t>Winterpeen</t>
  </si>
  <si>
    <t>Sjalot</t>
  </si>
  <si>
    <t>milliliter</t>
  </si>
  <si>
    <t>Vega</t>
  </si>
  <si>
    <t>Maanzaadbroodjes</t>
  </si>
  <si>
    <t>Groentebouillonblokjes</t>
  </si>
  <si>
    <t>Semi-gedroogde tomaat</t>
  </si>
  <si>
    <t>Cherrytomaten</t>
  </si>
  <si>
    <t>Zure room</t>
  </si>
  <si>
    <t>Paprikapoeder</t>
  </si>
  <si>
    <t>Zonneblemolie</t>
  </si>
  <si>
    <t>Peper en zout</t>
  </si>
  <si>
    <t>Kipfilethaasjes</t>
  </si>
  <si>
    <t>Gember</t>
  </si>
  <si>
    <t>centimeter</t>
  </si>
  <si>
    <t>Bloem</t>
  </si>
  <si>
    <t>Boter</t>
  </si>
  <si>
    <t>Sambal</t>
  </si>
  <si>
    <t>blokje</t>
  </si>
  <si>
    <t>Zoete aardappel</t>
  </si>
  <si>
    <t>Wortel</t>
  </si>
  <si>
    <t>Yoghurt</t>
  </si>
  <si>
    <t>cups</t>
  </si>
  <si>
    <t>Zoete chilisaus</t>
  </si>
  <si>
    <t>Veldsla</t>
  </si>
  <si>
    <t>Shoarmakruiden</t>
  </si>
  <si>
    <t>Azijn</t>
  </si>
  <si>
    <t>comfy</t>
  </si>
  <si>
    <t>takje</t>
  </si>
  <si>
    <t>Prei</t>
  </si>
  <si>
    <t>Chorizo</t>
  </si>
  <si>
    <t>Crème fraîche</t>
  </si>
  <si>
    <t>kuipje</t>
  </si>
  <si>
    <t>Melk</t>
  </si>
  <si>
    <t>Vega, zomers</t>
  </si>
  <si>
    <t>Rucola</t>
  </si>
  <si>
    <t>Quichedeeg</t>
  </si>
  <si>
    <t>Kookroom</t>
  </si>
  <si>
    <t>Geraspte parmezaan</t>
  </si>
  <si>
    <t>Aardappels (kruimig)</t>
  </si>
  <si>
    <t>kilo</t>
  </si>
  <si>
    <t>Winter</t>
  </si>
  <si>
    <t>Voorgekookte rode kool</t>
  </si>
  <si>
    <t>Rundergehakt</t>
  </si>
  <si>
    <t>Runderbouillon</t>
  </si>
  <si>
    <t>Ketchup</t>
  </si>
  <si>
    <t>Gedroogde tijm</t>
  </si>
  <si>
    <t>Koekkruiden/5 spice</t>
  </si>
  <si>
    <t>Mienestjes</t>
  </si>
  <si>
    <t>Vega, snel</t>
  </si>
  <si>
    <t>Pinda's</t>
  </si>
  <si>
    <t>Rode Peper</t>
  </si>
  <si>
    <t>Kippenbouillon</t>
  </si>
  <si>
    <t>liter</t>
  </si>
  <si>
    <t>Broccolikiemen</t>
  </si>
  <si>
    <t>handje</t>
  </si>
  <si>
    <t>Hard broodje</t>
  </si>
  <si>
    <t>Geraspte cheddar</t>
  </si>
  <si>
    <t>cup</t>
  </si>
  <si>
    <t>blikjes</t>
  </si>
  <si>
    <t>blikje</t>
  </si>
  <si>
    <t>Wokgroente</t>
  </si>
  <si>
    <t>Water</t>
  </si>
  <si>
    <t>Tomaten uit blik</t>
  </si>
  <si>
    <t>(Maïzena/zetmeel)</t>
  </si>
  <si>
    <t>Verse peterselie</t>
  </si>
  <si>
    <t>Volkorenbrood of knoflooktoast</t>
  </si>
  <si>
    <t>sneetjes</t>
  </si>
  <si>
    <t>Trostomaat</t>
  </si>
  <si>
    <t>Rodewijnazijn</t>
  </si>
  <si>
    <t>Vega, winters</t>
  </si>
  <si>
    <t>(Gedroogde) rode peper</t>
  </si>
  <si>
    <t>peper</t>
  </si>
  <si>
    <t>Kokosmelk</t>
  </si>
  <si>
    <t>Thai red curry</t>
  </si>
  <si>
    <t>Naanbrood</t>
  </si>
  <si>
    <t>Kerriepoeder</t>
  </si>
  <si>
    <t>Kaas</t>
  </si>
  <si>
    <t>Parelcouscous</t>
  </si>
  <si>
    <t>Citroen</t>
  </si>
  <si>
    <t>Amandelschaafsel</t>
  </si>
  <si>
    <t>Oregano</t>
  </si>
  <si>
    <t>Feta</t>
  </si>
  <si>
    <t>takjes</t>
  </si>
  <si>
    <t>Gerookte kip</t>
  </si>
  <si>
    <t>Gele paprika</t>
  </si>
  <si>
    <t>Mandarijnpartjes</t>
  </si>
  <si>
    <t>Gebakken uitjes</t>
  </si>
  <si>
    <t>Sesamzaadjes</t>
  </si>
  <si>
    <t>Caribbean spice (JB)</t>
  </si>
  <si>
    <t>Peper</t>
  </si>
  <si>
    <t>Rijstazijn</t>
  </si>
  <si>
    <t>Kristalsuiker</t>
  </si>
  <si>
    <t>Zout</t>
  </si>
  <si>
    <t>Runderchipolata (evt vega)</t>
  </si>
  <si>
    <t>Milde harissa</t>
  </si>
  <si>
    <t>Stroop</t>
  </si>
  <si>
    <t>Kaneel</t>
  </si>
  <si>
    <t>Watermeloen</t>
  </si>
  <si>
    <t>Mini mozzarella</t>
  </si>
  <si>
    <t>Parmaham</t>
  </si>
  <si>
    <t>Sperziebonen</t>
  </si>
  <si>
    <t>Spaghetti</t>
  </si>
  <si>
    <t>Krulpeterselie</t>
  </si>
  <si>
    <t>Spekreepjes</t>
  </si>
  <si>
    <t>Parmezaanse kaas</t>
  </si>
  <si>
    <t>Zwarte peper</t>
  </si>
  <si>
    <t>Verse slagroom</t>
  </si>
  <si>
    <t>Kipdijfilet</t>
  </si>
  <si>
    <t>Toscaanse aardappelpartjes</t>
  </si>
  <si>
    <t>Hacheevlees</t>
  </si>
  <si>
    <t>(Donker) bier</t>
  </si>
  <si>
    <t>flesje</t>
  </si>
  <si>
    <t>Kruidnagels</t>
  </si>
  <si>
    <t>Jeneverbessen</t>
  </si>
  <si>
    <t>Kruimige aardappels</t>
  </si>
  <si>
    <t>Magere melk</t>
  </si>
  <si>
    <t>Rode kool</t>
  </si>
  <si>
    <t>Appel</t>
  </si>
  <si>
    <t>Bruine suiker</t>
  </si>
  <si>
    <t>Witbrood</t>
  </si>
  <si>
    <t>sneetje</t>
  </si>
  <si>
    <t>(Gegrilde) rode paprika</t>
  </si>
  <si>
    <t>Verse platte peterselie</t>
  </si>
  <si>
    <t>Italiaans gekruid gehakt</t>
  </si>
  <si>
    <t>Halfvolle melk</t>
  </si>
  <si>
    <t>Pancetta (italiaans spek, plakjes)</t>
  </si>
  <si>
    <t>Aardappelpartjes</t>
  </si>
  <si>
    <t>Kalkoenfilets of kipfilets</t>
  </si>
  <si>
    <t>Tagliatelle (koelvers)</t>
  </si>
  <si>
    <t>Pesto (koelvers)</t>
  </si>
  <si>
    <t>bakje</t>
  </si>
  <si>
    <t>zakje</t>
  </si>
  <si>
    <t>Sushirijst</t>
  </si>
  <si>
    <t>Misopasta</t>
  </si>
  <si>
    <t>Chinese kool</t>
  </si>
  <si>
    <t>Komijnpoeder</t>
  </si>
  <si>
    <t>Cayennepeper</t>
  </si>
  <si>
    <t>Kurkuma</t>
  </si>
  <si>
    <t>Gemalen koriander</t>
  </si>
  <si>
    <t>Kipfilets</t>
  </si>
  <si>
    <t>Tandoorikruiden</t>
  </si>
  <si>
    <t>deciliter</t>
  </si>
  <si>
    <t>Citroensap</t>
  </si>
  <si>
    <t>Lasagnevellen</t>
  </si>
  <si>
    <t>pak</t>
  </si>
  <si>
    <t>Italiaanse kruiden</t>
  </si>
  <si>
    <t>Geraspte oude kaas</t>
  </si>
  <si>
    <t>Gehakt</t>
  </si>
  <si>
    <t>Broodkruim</t>
  </si>
  <si>
    <t>Lasagnevellen (vers)</t>
  </si>
  <si>
    <t>Pijnboompitten</t>
  </si>
  <si>
    <t>Passata</t>
  </si>
  <si>
    <t>Macaroni</t>
  </si>
  <si>
    <t>Gerookt ontbijtspek</t>
  </si>
  <si>
    <t>Volle melk</t>
  </si>
  <si>
    <t>Geraspte jonge kaas</t>
  </si>
  <si>
    <t>zak</t>
  </si>
  <si>
    <t>Andijvie</t>
  </si>
  <si>
    <t>Mexicaanse kruiden</t>
  </si>
  <si>
    <t>Rode peper</t>
  </si>
  <si>
    <t>Pokébowlspice (gember, knoflook, sesamzaad)</t>
  </si>
  <si>
    <t>Kip</t>
  </si>
  <si>
    <t>Kerriesausmix</t>
  </si>
  <si>
    <t>Verse gember</t>
  </si>
  <si>
    <t>Roerbakgroente</t>
  </si>
  <si>
    <t>Ketjap</t>
  </si>
  <si>
    <t>(Punt)paprika</t>
  </si>
  <si>
    <t>Chilivlokken</t>
  </si>
  <si>
    <t>Ras el hanout</t>
  </si>
  <si>
    <t>Peterselie</t>
  </si>
  <si>
    <t>bosje</t>
  </si>
  <si>
    <t>Naan</t>
  </si>
  <si>
    <t>Rauwe ham</t>
  </si>
  <si>
    <t>(Diepvries)doperwten</t>
  </si>
  <si>
    <t>Parmezaanse kaas (geraspt)</t>
  </si>
  <si>
    <t>Muntblaadjes</t>
  </si>
  <si>
    <t>fles</t>
  </si>
  <si>
    <t>Gekookt water</t>
  </si>
  <si>
    <t>Tortellini (koelvers)</t>
  </si>
  <si>
    <t>Pesto</t>
  </si>
  <si>
    <t>Kipdrumstick</t>
  </si>
  <si>
    <t>kilogram</t>
  </si>
  <si>
    <t>Kleine krieltjes</t>
  </si>
  <si>
    <t>Garam masala</t>
  </si>
  <si>
    <t>Verse munt</t>
  </si>
  <si>
    <t>Halfvolle yoghurt</t>
  </si>
  <si>
    <t>Munt</t>
  </si>
  <si>
    <t>Limoen</t>
  </si>
  <si>
    <t>(IJsberg)sla</t>
  </si>
  <si>
    <t>Kipburgers</t>
  </si>
  <si>
    <t>Platte peterselie</t>
  </si>
  <si>
    <t>Chilipeper</t>
  </si>
  <si>
    <t>Geschaafde amandelen</t>
  </si>
  <si>
    <t>Zongedroogde tomaat</t>
  </si>
  <si>
    <t>Ciabatta (klein)</t>
  </si>
  <si>
    <t>Paprika (pot)</t>
  </si>
  <si>
    <t>Trostomaten</t>
  </si>
  <si>
    <t>bol</t>
  </si>
  <si>
    <t>Pindakaas</t>
  </si>
  <si>
    <t>Limoensap</t>
  </si>
  <si>
    <t>drupje</t>
  </si>
  <si>
    <t>Fusilli</t>
  </si>
  <si>
    <t>Nectarine</t>
  </si>
  <si>
    <t>Cashewnoten (gezouten)</t>
  </si>
  <si>
    <t>Griekse yoghurt</t>
  </si>
  <si>
    <t>Gerookte kipfiletreepjes</t>
  </si>
  <si>
    <t>Gesneden witte kool</t>
  </si>
  <si>
    <t>Tortellini</t>
  </si>
  <si>
    <t>stuk</t>
  </si>
  <si>
    <t>Aioli</t>
  </si>
  <si>
    <t>Puntpaprika</t>
  </si>
  <si>
    <t>Sperziebonen diepvries</t>
  </si>
  <si>
    <t>Zongedroogde tomaten</t>
  </si>
  <si>
    <t>Rode pesto</t>
  </si>
  <si>
    <t>Aardappelschijfjes</t>
  </si>
  <si>
    <t>Brood</t>
  </si>
  <si>
    <t>plakje</t>
  </si>
  <si>
    <t>Tijm</t>
  </si>
  <si>
    <t>Orzo</t>
  </si>
  <si>
    <t>Slagroom</t>
  </si>
  <si>
    <t>Kipbouillonblokjes</t>
  </si>
  <si>
    <t>Venkelzaad</t>
  </si>
  <si>
    <t>Olijven</t>
  </si>
  <si>
    <t>Minimozzarella</t>
  </si>
  <si>
    <t>Spek (vegetarisch)</t>
  </si>
  <si>
    <t>Zachte bolletjes</t>
  </si>
  <si>
    <t>Kroketten</t>
  </si>
  <si>
    <t>Grana Padano</t>
  </si>
  <si>
    <t>Olijfolie</t>
  </si>
  <si>
    <t>Pasta of brood</t>
  </si>
  <si>
    <t>Tasty Toms</t>
  </si>
  <si>
    <t>Burrata</t>
  </si>
  <si>
    <t>Aardappelen (vastkokend)</t>
  </si>
  <si>
    <t>Paprikapoeder (gerookt)</t>
  </si>
  <si>
    <t>Rode druiven</t>
  </si>
  <si>
    <t>Taco-kruiden</t>
  </si>
  <si>
    <t>Nacho's</t>
  </si>
  <si>
    <t>Zuivelspread naturel</t>
  </si>
  <si>
    <t>Rode bieten</t>
  </si>
  <si>
    <t>Tomatensaus</t>
  </si>
  <si>
    <t>Lasagnebladen</t>
  </si>
  <si>
    <t>Lasagnebladen pompoen</t>
  </si>
  <si>
    <t>Ontbijtspek</t>
  </si>
  <si>
    <t>strips</t>
  </si>
  <si>
    <t>Kikkererwten</t>
  </si>
  <si>
    <t>Komijnzaad</t>
  </si>
  <si>
    <t>Aardappel (kruimig)</t>
  </si>
  <si>
    <t>Spekblokjes</t>
  </si>
  <si>
    <t>Bruine pistolet</t>
  </si>
  <si>
    <t>Penne</t>
  </si>
  <si>
    <t>teentje</t>
  </si>
  <si>
    <t>Gist</t>
  </si>
  <si>
    <t>Bieslook</t>
  </si>
  <si>
    <t>Tomato frito</t>
  </si>
  <si>
    <t>Ravioli 5 formaggi</t>
  </si>
  <si>
    <t>Gerooktepaprikapoeder</t>
  </si>
  <si>
    <t>Hamburgerbroodje</t>
  </si>
  <si>
    <t>Hamburger</t>
  </si>
  <si>
    <t>eetlepels</t>
  </si>
  <si>
    <t>Tomaat</t>
  </si>
  <si>
    <t>Borrelvlees</t>
  </si>
  <si>
    <t>Borrelkaas</t>
  </si>
  <si>
    <t>Borrelcrackers</t>
  </si>
  <si>
    <t>Borrelsmeerseltjes</t>
  </si>
  <si>
    <t>soort</t>
  </si>
  <si>
    <t>Borrelgroentjes</t>
  </si>
  <si>
    <t>Borrelfruit</t>
  </si>
  <si>
    <t>Borrelnootjes</t>
  </si>
  <si>
    <t>Aardappels</t>
  </si>
  <si>
    <t>Bieten</t>
  </si>
  <si>
    <t>Zelf toevoegen verspakket</t>
  </si>
  <si>
    <t>Roomboter</t>
  </si>
  <si>
    <t>Snoeptomaatjes</t>
  </si>
  <si>
    <t>Hele tomaten uit blik</t>
  </si>
  <si>
    <t>Aardappelen (iets kruimig)</t>
  </si>
  <si>
    <t>Gehakt (kan ook vega)</t>
  </si>
  <si>
    <t>Sesambollen</t>
  </si>
  <si>
    <t>Runderhamburgers</t>
  </si>
  <si>
    <t>Augurk</t>
  </si>
  <si>
    <t>Zomerse salade met burrata, perzik en orzo</t>
  </si>
  <si>
    <t>Perziken</t>
  </si>
  <si>
    <t>Little gem</t>
  </si>
  <si>
    <t>Balsamicocrème (bertolli)</t>
  </si>
  <si>
    <t>kneepjes</t>
  </si>
  <si>
    <t>Olijfolie extra vierge</t>
  </si>
  <si>
    <t>Broodje Carpaccio</t>
  </si>
  <si>
    <t>Ciabattina</t>
  </si>
  <si>
    <t>Carpaccio</t>
  </si>
  <si>
    <t>verpakking</t>
  </si>
  <si>
    <t>Insalata ravioli caprese</t>
  </si>
  <si>
    <t>Ravioli formaggio e pomodoro</t>
  </si>
  <si>
    <t>Romatomaten</t>
  </si>
  <si>
    <t>teen</t>
  </si>
  <si>
    <t>Crema balsamico</t>
  </si>
  <si>
    <t>Aardappelsalade wortel&amp;erwten</t>
  </si>
  <si>
    <t>Krieltjes</t>
  </si>
  <si>
    <t>Tuinerwten</t>
  </si>
  <si>
    <t>olijfolie</t>
  </si>
  <si>
    <t>Orzosalade met pesto en sperziebonen</t>
  </si>
  <si>
    <t>Kerstomaatjes</t>
  </si>
  <si>
    <t>Witte kaas</t>
  </si>
  <si>
    <t>Ei</t>
  </si>
  <si>
    <t xml:space="preserve">Diepvries rösti o,i,d, </t>
  </si>
  <si>
    <t>Kipfilet (evt, gerookt)</t>
  </si>
  <si>
    <t>Gehakt (evt, vega)</t>
  </si>
  <si>
    <t>Aioli (evt, vegan)</t>
  </si>
  <si>
    <t>Pokébowl vega met mango en omelet</t>
  </si>
  <si>
    <t>Rijst met ovenkip en mangochutney</t>
  </si>
  <si>
    <t>Mangochutney</t>
  </si>
  <si>
    <t>Tuinerwten (diepvries)</t>
  </si>
  <si>
    <t>1 eetlepel</t>
  </si>
  <si>
    <t>10 gram</t>
  </si>
  <si>
    <t>0,5 fles</t>
  </si>
  <si>
    <t>0,5 blikjes</t>
  </si>
  <si>
    <t>0,5 liter</t>
  </si>
  <si>
    <t>175 gram</t>
  </si>
  <si>
    <t>1 zak</t>
  </si>
  <si>
    <t>1 blokje</t>
  </si>
  <si>
    <t>30 gram</t>
  </si>
  <si>
    <t>25 gram</t>
  </si>
  <si>
    <t>250 milliliter</t>
  </si>
  <si>
    <t>4 eetlepel</t>
  </si>
  <si>
    <t>4 teentjes</t>
  </si>
  <si>
    <t>5,5 eetlepel</t>
  </si>
  <si>
    <t>X</t>
  </si>
  <si>
    <t>C</t>
  </si>
  <si>
    <t>AH</t>
  </si>
  <si>
    <t>theelepels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</si>
</sst>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FF0000"/>
      <name val="Calibri"/>
      <family val="2"/>
    </font>
    <font>
      <sz val="11"/>
      <color rgb="FFFF99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applyAlignment="1">
      <alignment vertical="center" wrapText="1"/>
    </xf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vertical="center" wrapText="1"/>
    </xf>
    <xf numFmtId="0" fontId="7" fillId="0" borderId="0" xfId="0" applyFont="1"/>
    <xf numFmtId="0" fontId="4" fillId="0" borderId="0" xfId="0" applyFont="1"/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</cellXfs>
  <cellStyles count="1">
    <cellStyle name="Normal" xfId="0" builtinId="0"/>
  </cellStyles>
  <dxfs count="4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8</xdr:row>
          <xdr:rowOff>190500</xdr:rowOff>
        </xdr:from>
        <xdr:to>
          <xdr:col>1</xdr:col>
          <xdr:colOff>1685925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Doe de shuffle</a:t>
              </a:r>
            </a:p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(helemaal opnieuw)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9525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Doe de lijstmaker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1762125</xdr:colOff>
          <xdr:row>9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Doe de shuffle</a:t>
              </a:r>
            </a:p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(alleen oningevulde dagen)</a:t>
              </a:r>
            </a:p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(werkt nog niet)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H88"/>
  <sheetViews>
    <sheetView showFormulas="1" workbookViewId="0">
      <selection activeCell="B32" sqref="B32"/>
    </sheetView>
  </sheetViews>
  <sheetFormatPr defaultRowHeight="15" x14ac:dyDescent="0.25"/>
  <cols>
    <col min="1" max="1" width="10.42578125" bestFit="1" customWidth="1"/>
    <col min="2" max="2" width="38.42578125" style="11" customWidth="1"/>
    <col min="3" max="3" width="8.42578125" customWidth="1"/>
    <col min="4" max="4" width="5" customWidth="1"/>
    <col min="5" max="5" width="11.42578125" customWidth="1"/>
    <col min="6" max="6" width="7.42578125" bestFit="1" customWidth="1"/>
    <col min="7" max="7" width="4.5703125" customWidth="1"/>
    <col min="8" max="8" width="31.42578125" bestFit="1" customWidth="1"/>
  </cols>
  <sheetData>
    <row r="1" spans="1:8" x14ac:dyDescent="0.25">
      <c r="A1" s="1" t="s">
        <v>0</v>
      </c>
      <c r="B1" s="4" t="s">
        <v>1</v>
      </c>
      <c r="C1" s="1" t="s">
        <v>2</v>
      </c>
      <c r="E1" s="1" t="s">
        <v>3</v>
      </c>
      <c r="F1" s="1" t="s">
        <v>4</v>
      </c>
      <c r="H1" s="1" t="s">
        <v>5</v>
      </c>
    </row>
    <row r="2" spans="1:8" x14ac:dyDescent="0.25">
      <c r="A2" t="s">
        <v>6</v>
      </c>
      <c r="B2" t="s">
        <v>56</v>
      </c>
      <c r="C2">
        <v>2</v>
      </c>
      <c r="D2" t="s">
        <v>555</v>
      </c>
      <c r="E2" t="s">
        <v>407</v>
      </c>
      <c r="F2" t="s">
        <v>24</v>
      </c>
      <c r="H2" t="s">
        <v>9</v>
      </c>
    </row>
    <row r="3" spans="1:8" x14ac:dyDescent="0.25">
      <c r="A3" t="s">
        <v>10</v>
      </c>
      <c r="B3" t="s">
        <v>151</v>
      </c>
      <c r="C3">
        <v>2</v>
      </c>
      <c r="D3" t="s">
        <v>554</v>
      </c>
      <c r="E3" t="s">
        <v>430</v>
      </c>
      <c r="F3" t="s">
        <v>19</v>
      </c>
      <c r="H3" t="s">
        <v>15</v>
      </c>
    </row>
    <row r="4" spans="1:8" x14ac:dyDescent="0.25">
      <c r="A4" t="s">
        <v>16</v>
      </c>
      <c r="B4" t="s">
        <v>35</v>
      </c>
      <c r="C4">
        <v>2</v>
      </c>
      <c r="D4" t="s">
        <v>554</v>
      </c>
      <c r="E4" t="s">
        <v>8</v>
      </c>
      <c r="F4" t="s">
        <v>544</v>
      </c>
      <c r="H4" t="s">
        <v>20</v>
      </c>
    </row>
    <row r="5" spans="1:8" x14ac:dyDescent="0.25">
      <c r="A5" t="s">
        <v>21</v>
      </c>
      <c r="B5" t="s">
        <v>99</v>
      </c>
      <c r="C5">
        <v>2</v>
      </c>
      <c r="D5" t="s">
        <v>554</v>
      </c>
      <c r="E5" t="s">
        <v>381</v>
      </c>
      <c r="F5" t="s">
        <v>544</v>
      </c>
      <c r="H5" t="s">
        <v>25</v>
      </c>
    </row>
    <row r="6" spans="1:8" x14ac:dyDescent="0.25">
      <c r="A6" t="s">
        <v>26</v>
      </c>
      <c r="B6" t="s">
        <v>143</v>
      </c>
      <c r="C6">
        <v>2</v>
      </c>
      <c r="D6" t="s">
        <v>554</v>
      </c>
      <c r="E6" t="s">
        <v>71</v>
      </c>
      <c r="F6" t="s">
        <v>88</v>
      </c>
      <c r="H6" t="s">
        <v>29</v>
      </c>
    </row>
    <row r="7" spans="1:8" x14ac:dyDescent="0.25">
      <c r="A7" t="s">
        <v>30</v>
      </c>
      <c r="B7" t="s">
        <v>95</v>
      </c>
      <c r="C7">
        <v>2</v>
      </c>
      <c r="D7" t="s">
        <v>554</v>
      </c>
      <c r="E7" t="s">
        <v>408</v>
      </c>
      <c r="F7" t="s">
        <v>189</v>
      </c>
      <c r="H7" t="s">
        <v>33</v>
      </c>
    </row>
    <row r="8" spans="1:8" x14ac:dyDescent="0.25">
      <c r="A8" t="s">
        <v>34</v>
      </c>
      <c r="B8" t="s">
        <v>130</v>
      </c>
      <c r="C8">
        <v>2</v>
      </c>
      <c r="D8" t="s">
        <v>554</v>
      </c>
      <c r="E8" t="s">
        <v>181</v>
      </c>
      <c r="F8" t="s">
        <v>104</v>
      </c>
      <c r="H8" t="s">
        <v>37</v>
      </c>
    </row>
    <row r="9" spans="1:8" x14ac:dyDescent="0.25">
      <c r="D9" t="s">
        <v>554</v>
      </c>
      <c r="E9" t="s">
        <v>166</v>
      </c>
      <c r="F9" t="s">
        <v>540</v>
      </c>
      <c r="H9" t="s">
        <v>39</v>
      </c>
    </row>
    <row r="10" spans="1:8" x14ac:dyDescent="0.25">
      <c r="D10" t="s">
        <v>554</v>
      </c>
      <c r="E10" t="s">
        <v>42</v>
      </c>
      <c r="F10" t="s">
        <v>59</v>
      </c>
      <c r="H10" t="s">
        <v>41</v>
      </c>
    </row>
    <row r="11" spans="1:8" x14ac:dyDescent="0.25">
      <c r="D11" t="s">
        <v>554</v>
      </c>
      <c r="E11" t="s">
        <v>83</v>
      </c>
      <c r="F11" t="s">
        <v>542</v>
      </c>
      <c r="H11" t="s">
        <v>44</v>
      </c>
    </row>
    <row r="12" spans="1:8" x14ac:dyDescent="0.25">
      <c r="D12" t="s">
        <v>12</v>
      </c>
      <c r="E12" t="s">
        <v>386</v>
      </c>
      <c r="F12" t="s">
        <v>185</v>
      </c>
      <c r="H12" t="s">
        <v>22</v>
      </c>
    </row>
    <row r="13" spans="1:8" x14ac:dyDescent="0.25">
      <c r="D13" t="s">
        <v>12</v>
      </c>
      <c r="E13" t="s">
        <v>13</v>
      </c>
      <c r="F13" t="s">
        <v>185</v>
      </c>
      <c r="H13" t="s">
        <v>46</v>
      </c>
    </row>
    <row r="14" spans="1:8" x14ac:dyDescent="0.25">
      <c r="D14" t="s">
        <v>12</v>
      </c>
      <c r="E14" t="s">
        <v>58</v>
      </c>
      <c r="F14" t="s">
        <v>59</v>
      </c>
      <c r="H14" t="s">
        <v>48</v>
      </c>
    </row>
    <row r="15" spans="1:8" x14ac:dyDescent="0.25">
      <c r="D15" t="s">
        <v>12</v>
      </c>
      <c r="E15" t="s">
        <v>63</v>
      </c>
      <c r="F15" t="s">
        <v>24</v>
      </c>
      <c r="H15" t="s">
        <v>50</v>
      </c>
    </row>
    <row r="16" spans="1:8" x14ac:dyDescent="0.25">
      <c r="D16" t="s">
        <v>12</v>
      </c>
      <c r="E16" t="s">
        <v>384</v>
      </c>
      <c r="F16" t="s">
        <v>173</v>
      </c>
      <c r="H16" t="s">
        <v>52</v>
      </c>
    </row>
    <row r="17" spans="2:8" x14ac:dyDescent="0.25">
      <c r="D17" t="s">
        <v>12</v>
      </c>
      <c r="E17" t="s">
        <v>382</v>
      </c>
      <c r="F17" t="s">
        <v>173</v>
      </c>
      <c r="H17" t="s">
        <v>54</v>
      </c>
    </row>
    <row r="18" spans="2:8" x14ac:dyDescent="0.25">
      <c r="B18"/>
      <c r="D18" t="s">
        <v>12</v>
      </c>
      <c r="E18" t="s">
        <v>261</v>
      </c>
      <c r="F18" t="s">
        <v>550</v>
      </c>
      <c r="H18" t="s">
        <v>56</v>
      </c>
    </row>
    <row r="19" spans="2:8" x14ac:dyDescent="0.25">
      <c r="B19"/>
      <c r="D19" t="s">
        <v>12</v>
      </c>
      <c r="E19" t="s">
        <v>38</v>
      </c>
      <c r="F19" t="s">
        <v>59</v>
      </c>
      <c r="H19" t="s">
        <v>57</v>
      </c>
    </row>
    <row r="20" spans="2:8" x14ac:dyDescent="0.25">
      <c r="B20"/>
      <c r="D20" t="s">
        <v>12</v>
      </c>
      <c r="E20" t="s">
        <v>333</v>
      </c>
      <c r="F20" t="s">
        <v>125</v>
      </c>
      <c r="H20" t="s">
        <v>60</v>
      </c>
    </row>
    <row r="21" spans="2:8" x14ac:dyDescent="0.25">
      <c r="B21"/>
      <c r="D21" t="s">
        <v>12</v>
      </c>
      <c r="E21" t="s">
        <v>380</v>
      </c>
      <c r="F21" t="s">
        <v>541</v>
      </c>
      <c r="H21" t="s">
        <v>62</v>
      </c>
    </row>
    <row r="22" spans="2:8" x14ac:dyDescent="0.25">
      <c r="B22"/>
      <c r="D22" t="s">
        <v>12</v>
      </c>
      <c r="E22" t="s">
        <v>476</v>
      </c>
      <c r="F22" t="s">
        <v>104</v>
      </c>
      <c r="H22" t="s">
        <v>64</v>
      </c>
    </row>
    <row r="23" spans="2:8" x14ac:dyDescent="0.25">
      <c r="B23"/>
      <c r="D23" t="s">
        <v>12</v>
      </c>
      <c r="E23" t="s">
        <v>227</v>
      </c>
      <c r="F23" t="s">
        <v>19</v>
      </c>
      <c r="H23" t="s">
        <v>66</v>
      </c>
    </row>
    <row r="24" spans="2:8" x14ac:dyDescent="0.25">
      <c r="B24"/>
      <c r="D24" t="s">
        <v>12</v>
      </c>
      <c r="E24" t="s">
        <v>92</v>
      </c>
      <c r="F24" t="s">
        <v>545</v>
      </c>
      <c r="H24" t="s">
        <v>68</v>
      </c>
    </row>
    <row r="25" spans="2:8" x14ac:dyDescent="0.25">
      <c r="B25"/>
      <c r="D25" t="s">
        <v>12</v>
      </c>
      <c r="E25" t="s">
        <v>383</v>
      </c>
      <c r="F25" t="s">
        <v>549</v>
      </c>
      <c r="H25" t="s">
        <v>70</v>
      </c>
    </row>
    <row r="26" spans="2:8" x14ac:dyDescent="0.25">
      <c r="B26"/>
      <c r="D26" t="s">
        <v>553</v>
      </c>
      <c r="E26" t="s">
        <v>475</v>
      </c>
      <c r="F26" t="s">
        <v>19</v>
      </c>
      <c r="H26" t="s">
        <v>27</v>
      </c>
    </row>
    <row r="27" spans="2:8" x14ac:dyDescent="0.25">
      <c r="B27"/>
      <c r="D27" t="s">
        <v>553</v>
      </c>
      <c r="E27" t="s">
        <v>53</v>
      </c>
      <c r="F27" t="s">
        <v>24</v>
      </c>
      <c r="H27" t="s">
        <v>74</v>
      </c>
    </row>
    <row r="28" spans="2:8" x14ac:dyDescent="0.25">
      <c r="B28"/>
      <c r="D28" t="s">
        <v>553</v>
      </c>
      <c r="E28" t="s">
        <v>243</v>
      </c>
      <c r="F28" t="s">
        <v>548</v>
      </c>
      <c r="H28" t="s">
        <v>75</v>
      </c>
    </row>
    <row r="29" spans="2:8" x14ac:dyDescent="0.25">
      <c r="B29"/>
      <c r="D29" t="s">
        <v>553</v>
      </c>
      <c r="E29" t="s">
        <v>225</v>
      </c>
      <c r="F29" t="s">
        <v>19</v>
      </c>
      <c r="H29" t="s">
        <v>77</v>
      </c>
    </row>
    <row r="30" spans="2:8" x14ac:dyDescent="0.25">
      <c r="B30"/>
      <c r="D30" t="s">
        <v>553</v>
      </c>
      <c r="E30" t="s">
        <v>98</v>
      </c>
      <c r="F30" t="s">
        <v>81</v>
      </c>
      <c r="H30" t="s">
        <v>79</v>
      </c>
    </row>
    <row r="31" spans="2:8" x14ac:dyDescent="0.25">
      <c r="B31"/>
      <c r="D31" t="s">
        <v>553</v>
      </c>
      <c r="E31" t="s">
        <v>244</v>
      </c>
      <c r="F31" t="s">
        <v>547</v>
      </c>
      <c r="H31" t="s">
        <v>82</v>
      </c>
    </row>
    <row r="32" spans="2:8" x14ac:dyDescent="0.25">
      <c r="B32"/>
      <c r="D32" t="s">
        <v>553</v>
      </c>
      <c r="E32" t="s">
        <v>100</v>
      </c>
      <c r="F32" t="s">
        <v>81</v>
      </c>
      <c r="H32" s="11" t="s">
        <v>84</v>
      </c>
    </row>
    <row r="33" spans="2:8" x14ac:dyDescent="0.25">
      <c r="B33"/>
      <c r="D33" t="s">
        <v>553</v>
      </c>
      <c r="E33" t="s">
        <v>100</v>
      </c>
      <c r="F33" t="s">
        <v>546</v>
      </c>
      <c r="H33" t="s">
        <v>86</v>
      </c>
    </row>
    <row r="34" spans="2:8" x14ac:dyDescent="0.25">
      <c r="B34"/>
      <c r="D34" t="s">
        <v>553</v>
      </c>
      <c r="E34" t="s">
        <v>310</v>
      </c>
      <c r="F34" t="s">
        <v>125</v>
      </c>
      <c r="H34" s="11" t="s">
        <v>89</v>
      </c>
    </row>
    <row r="35" spans="2:8" x14ac:dyDescent="0.25">
      <c r="B35"/>
      <c r="D35" t="s">
        <v>553</v>
      </c>
      <c r="E35" t="s">
        <v>315</v>
      </c>
      <c r="F35" t="s">
        <v>125</v>
      </c>
      <c r="H35" t="s">
        <v>91</v>
      </c>
    </row>
    <row r="36" spans="2:8" x14ac:dyDescent="0.25">
      <c r="B36"/>
      <c r="D36" t="s">
        <v>553</v>
      </c>
      <c r="E36" t="s">
        <v>406</v>
      </c>
      <c r="F36" t="s">
        <v>543</v>
      </c>
      <c r="H36" t="s">
        <v>93</v>
      </c>
    </row>
    <row r="37" spans="2:8" x14ac:dyDescent="0.25">
      <c r="B37"/>
      <c r="D37" t="s">
        <v>553</v>
      </c>
      <c r="E37" t="s">
        <v>304</v>
      </c>
      <c r="F37" t="s">
        <v>539</v>
      </c>
      <c r="H37" t="s">
        <v>95</v>
      </c>
    </row>
    <row r="38" spans="2:8" x14ac:dyDescent="0.25">
      <c r="B38"/>
      <c r="D38" t="s">
        <v>553</v>
      </c>
      <c r="E38" t="s">
        <v>67</v>
      </c>
      <c r="F38" t="s">
        <v>88</v>
      </c>
      <c r="H38" t="s">
        <v>97</v>
      </c>
    </row>
    <row r="39" spans="2:8" x14ac:dyDescent="0.25">
      <c r="B39"/>
      <c r="D39" t="s">
        <v>553</v>
      </c>
      <c r="E39" t="s">
        <v>112</v>
      </c>
      <c r="F39" t="s">
        <v>551</v>
      </c>
      <c r="H39" t="s">
        <v>99</v>
      </c>
    </row>
    <row r="40" spans="2:8" x14ac:dyDescent="0.25">
      <c r="B40"/>
      <c r="D40" t="s">
        <v>553</v>
      </c>
      <c r="E40" t="s">
        <v>118</v>
      </c>
      <c r="F40" t="s">
        <v>552</v>
      </c>
      <c r="H40" t="s">
        <v>101</v>
      </c>
    </row>
    <row r="41" spans="2:8" x14ac:dyDescent="0.25">
      <c r="B41"/>
      <c r="D41" t="s">
        <v>553</v>
      </c>
      <c r="E41" t="s">
        <v>130</v>
      </c>
      <c r="F41" t="s">
        <v>43</v>
      </c>
      <c r="H41" t="s">
        <v>102</v>
      </c>
    </row>
    <row r="42" spans="2:8" x14ac:dyDescent="0.25">
      <c r="B42"/>
      <c r="D42" t="s">
        <v>553</v>
      </c>
      <c r="E42" t="s">
        <v>186</v>
      </c>
      <c r="F42" t="s">
        <v>14</v>
      </c>
      <c r="H42" t="s">
        <v>105</v>
      </c>
    </row>
    <row r="43" spans="2:8" x14ac:dyDescent="0.25">
      <c r="B43"/>
      <c r="D43" t="s">
        <v>553</v>
      </c>
      <c r="E43" t="s">
        <v>191</v>
      </c>
      <c r="F43" t="s">
        <v>192</v>
      </c>
      <c r="H43" t="s">
        <v>35</v>
      </c>
    </row>
    <row r="44" spans="2:8" x14ac:dyDescent="0.25">
      <c r="B44"/>
      <c r="D44" t="s">
        <v>553</v>
      </c>
      <c r="E44" t="s">
        <v>329</v>
      </c>
      <c r="F44" t="s">
        <v>24</v>
      </c>
      <c r="H44" t="s">
        <v>109</v>
      </c>
    </row>
    <row r="45" spans="2:8" x14ac:dyDescent="0.25">
      <c r="B45"/>
      <c r="D45" t="s">
        <v>553</v>
      </c>
      <c r="E45" t="s">
        <v>446</v>
      </c>
      <c r="F45" t="s">
        <v>540</v>
      </c>
      <c r="H45" t="s">
        <v>111</v>
      </c>
    </row>
    <row r="46" spans="2:8" x14ac:dyDescent="0.25">
      <c r="B46"/>
      <c r="D46" t="s">
        <v>553</v>
      </c>
      <c r="E46" t="s">
        <v>45</v>
      </c>
      <c r="F46" t="s">
        <v>59</v>
      </c>
      <c r="H46" t="s">
        <v>113</v>
      </c>
    </row>
    <row r="47" spans="2:8" x14ac:dyDescent="0.25">
      <c r="B47"/>
      <c r="H47" t="s">
        <v>114</v>
      </c>
    </row>
    <row r="48" spans="2:8" x14ac:dyDescent="0.25">
      <c r="B48"/>
      <c r="H48" t="s">
        <v>116</v>
      </c>
    </row>
    <row r="49" spans="2:8" x14ac:dyDescent="0.25">
      <c r="B49"/>
      <c r="H49" t="s">
        <v>7</v>
      </c>
    </row>
    <row r="50" spans="2:8" x14ac:dyDescent="0.25">
      <c r="B50"/>
      <c r="H50" t="s">
        <v>119</v>
      </c>
    </row>
    <row r="51" spans="2:8" x14ac:dyDescent="0.25">
      <c r="H51" t="s">
        <v>121</v>
      </c>
    </row>
    <row r="52" spans="2:8" x14ac:dyDescent="0.25">
      <c r="H52" t="s">
        <v>123</v>
      </c>
    </row>
    <row r="53" spans="2:8" x14ac:dyDescent="0.25">
      <c r="H53" t="s">
        <v>126</v>
      </c>
    </row>
    <row r="54" spans="2:8" x14ac:dyDescent="0.25">
      <c r="H54" t="s">
        <v>127</v>
      </c>
    </row>
    <row r="55" spans="2:8" x14ac:dyDescent="0.25">
      <c r="H55" t="s">
        <v>17</v>
      </c>
    </row>
    <row r="56" spans="2:8" x14ac:dyDescent="0.25">
      <c r="H56" t="s">
        <v>129</v>
      </c>
    </row>
    <row r="57" spans="2:8" x14ac:dyDescent="0.25">
      <c r="H57" t="s">
        <v>130</v>
      </c>
    </row>
    <row r="58" spans="2:8" x14ac:dyDescent="0.25">
      <c r="H58" t="s">
        <v>131</v>
      </c>
    </row>
    <row r="59" spans="2:8" x14ac:dyDescent="0.25">
      <c r="H59" t="s">
        <v>132</v>
      </c>
    </row>
    <row r="60" spans="2:8" x14ac:dyDescent="0.25">
      <c r="H60" t="s">
        <v>133</v>
      </c>
    </row>
    <row r="61" spans="2:8" x14ac:dyDescent="0.25">
      <c r="H61" t="s">
        <v>134</v>
      </c>
    </row>
    <row r="62" spans="2:8" x14ac:dyDescent="0.25">
      <c r="H62" t="s">
        <v>135</v>
      </c>
    </row>
    <row r="63" spans="2:8" x14ac:dyDescent="0.25">
      <c r="H63" t="s">
        <v>136</v>
      </c>
    </row>
    <row r="64" spans="2:8" x14ac:dyDescent="0.25">
      <c r="H64" t="s">
        <v>137</v>
      </c>
    </row>
    <row r="65" spans="8:8" x14ac:dyDescent="0.25">
      <c r="H65" t="s">
        <v>138</v>
      </c>
    </row>
    <row r="66" spans="8:8" x14ac:dyDescent="0.25">
      <c r="H66" t="s">
        <v>139</v>
      </c>
    </row>
    <row r="67" spans="8:8" x14ac:dyDescent="0.25">
      <c r="H67" t="s">
        <v>140</v>
      </c>
    </row>
    <row r="68" spans="8:8" x14ac:dyDescent="0.25">
      <c r="H68" t="s">
        <v>141</v>
      </c>
    </row>
    <row r="69" spans="8:8" x14ac:dyDescent="0.25">
      <c r="H69" t="s">
        <v>31</v>
      </c>
    </row>
    <row r="70" spans="8:8" x14ac:dyDescent="0.25">
      <c r="H70" t="s">
        <v>142</v>
      </c>
    </row>
    <row r="71" spans="8:8" x14ac:dyDescent="0.25">
      <c r="H71" t="s">
        <v>143</v>
      </c>
    </row>
    <row r="72" spans="8:8" x14ac:dyDescent="0.25">
      <c r="H72" t="s">
        <v>144</v>
      </c>
    </row>
    <row r="73" spans="8:8" x14ac:dyDescent="0.25">
      <c r="H73" t="s">
        <v>145</v>
      </c>
    </row>
    <row r="74" spans="8:8" x14ac:dyDescent="0.25">
      <c r="H74" t="s">
        <v>146</v>
      </c>
    </row>
    <row r="75" spans="8:8" x14ac:dyDescent="0.25">
      <c r="H75" t="s">
        <v>147</v>
      </c>
    </row>
    <row r="76" spans="8:8" x14ac:dyDescent="0.25">
      <c r="H76" t="s">
        <v>148</v>
      </c>
    </row>
    <row r="77" spans="8:8" x14ac:dyDescent="0.25">
      <c r="H77" t="s">
        <v>149</v>
      </c>
    </row>
    <row r="78" spans="8:8" x14ac:dyDescent="0.25">
      <c r="H78" t="s">
        <v>150</v>
      </c>
    </row>
    <row r="79" spans="8:8" x14ac:dyDescent="0.25">
      <c r="H79" t="s">
        <v>151</v>
      </c>
    </row>
    <row r="80" spans="8:8" x14ac:dyDescent="0.25">
      <c r="H80" t="s">
        <v>152</v>
      </c>
    </row>
    <row r="81" spans="8:8" x14ac:dyDescent="0.25">
      <c r="H81" t="s">
        <v>153</v>
      </c>
    </row>
    <row r="82" spans="8:8" x14ac:dyDescent="0.25">
      <c r="H82" t="s">
        <v>154</v>
      </c>
    </row>
    <row r="83" spans="8:8" x14ac:dyDescent="0.25">
      <c r="H83" t="s">
        <v>11</v>
      </c>
    </row>
    <row r="84" spans="8:8" x14ac:dyDescent="0.25">
      <c r="H84" t="s">
        <v>155</v>
      </c>
    </row>
    <row r="85" spans="8:8" x14ac:dyDescent="0.25">
      <c r="H85" t="s">
        <v>156</v>
      </c>
    </row>
    <row r="86" spans="8:8" x14ac:dyDescent="0.25">
      <c r="H86" t="s">
        <v>157</v>
      </c>
    </row>
    <row r="87" spans="8:8" x14ac:dyDescent="0.25">
      <c r="H87" t="s">
        <v>158</v>
      </c>
    </row>
    <row r="88" spans="8:8" x14ac:dyDescent="0.25">
      <c r="H88" t="s">
        <v>159</v>
      </c>
    </row>
  </sheetData>
  <autoFilter ref="D1:F82" xr:uid="{00000000-0001-0000-0000-000000000000}">
    <sortState xmlns:xlrd2="http://schemas.microsoft.com/office/spreadsheetml/2017/richdata2" ref="D2:F82">
      <sortCondition ref="D1:D82"/>
    </sortState>
  </autoFilter>
  <sortState xmlns:xlrd2="http://schemas.microsoft.com/office/spreadsheetml/2017/richdata2" ref="E2:F88">
    <sortCondition ref="E2"/>
  </sortState>
  <conditionalFormatting sqref="B8">
    <cfRule type="duplicateValues" dxfId="3" priority="66"/>
  </conditionalFormatting>
  <conditionalFormatting sqref="H89">
    <cfRule type="duplicateValues" dxfId="2" priority="17"/>
  </conditionalFormatting>
  <pageMargins left="0.7" right="0.7" top="0.75" bottom="0.75" header="0.3" footer="0.3"/>
  <pageSetup orientation="portrait" r:id="rId1"/>
  <headerFooter>
    <oddHeader>&amp;C&amp;"Aptos"&amp;10&amp;K000000 NATO UNCLASSIFIED&amp;1#_x000D_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MaakBoodschappenlijst.MaakBoodschappenlijst">
                <anchor moveWithCells="1" sizeWithCells="1">
                  <from>
                    <xdr:col>1</xdr:col>
                    <xdr:colOff>0</xdr:colOff>
                    <xdr:row>13</xdr:row>
                    <xdr:rowOff>9525</xdr:rowOff>
                  </from>
                  <to>
                    <xdr:col>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WillekeurigWeekmenu.WillekeurigWeekmenu">
                <anchor moveWithCells="1" sizeWithCells="1">
                  <from>
                    <xdr:col>1</xdr:col>
                    <xdr:colOff>685800</xdr:colOff>
                    <xdr:row>8</xdr:row>
                    <xdr:rowOff>190500</xdr:rowOff>
                  </from>
                  <to>
                    <xdr:col>1</xdr:col>
                    <xdr:colOff>1685925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WeekmenuAanvullen">
                <anchor moveWithCells="1" sizeWithCells="1">
                  <from>
                    <xdr:col>1</xdr:col>
                    <xdr:colOff>1762125</xdr:colOff>
                    <xdr:row>9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059EC-9310-4112-99A3-00268D48A4BA}">
  <dimension ref="A1:C48"/>
  <sheetViews>
    <sheetView workbookViewId="0">
      <selection activeCell="E28" sqref="E28"/>
    </sheetView>
  </sheetViews>
  <sheetFormatPr defaultRowHeight="15" x14ac:dyDescent="0.25"/>
  <cols>
    <col min="1" max="1" width="4.140625" bestFit="1" customWidth="1"/>
    <col min="2" max="2" width="21" bestFit="1" customWidth="1"/>
    <col min="3" max="3" width="13.5703125" bestFit="1" customWidth="1"/>
  </cols>
  <sheetData>
    <row r="1" spans="1:3" x14ac:dyDescent="0.25">
      <c r="A1" t="s">
        <v>12</v>
      </c>
      <c r="B1" s="1" t="s">
        <v>3</v>
      </c>
      <c r="C1" s="1" t="s">
        <v>4</v>
      </c>
    </row>
    <row r="2" spans="1:3" x14ac:dyDescent="0.25">
      <c r="A2" t="s">
        <v>12</v>
      </c>
      <c r="B2" t="s">
        <v>160</v>
      </c>
      <c r="C2" t="s">
        <v>81</v>
      </c>
    </row>
    <row r="3" spans="1:3" x14ac:dyDescent="0.25">
      <c r="A3" t="s">
        <v>12</v>
      </c>
      <c r="B3" t="s">
        <v>23</v>
      </c>
      <c r="C3" t="s">
        <v>24</v>
      </c>
    </row>
    <row r="4" spans="1:3" x14ac:dyDescent="0.25">
      <c r="A4" t="s">
        <v>12</v>
      </c>
      <c r="B4" t="s">
        <v>36</v>
      </c>
      <c r="C4" t="s">
        <v>73</v>
      </c>
    </row>
    <row r="5" spans="1:3" x14ac:dyDescent="0.25">
      <c r="A5" t="s">
        <v>12</v>
      </c>
      <c r="B5" t="s">
        <v>161</v>
      </c>
      <c r="C5" t="s">
        <v>85</v>
      </c>
    </row>
    <row r="6" spans="1:3" x14ac:dyDescent="0.25">
      <c r="A6" t="s">
        <v>12</v>
      </c>
      <c r="B6" t="s">
        <v>112</v>
      </c>
      <c r="C6" t="s">
        <v>162</v>
      </c>
    </row>
    <row r="7" spans="1:3" x14ac:dyDescent="0.25">
      <c r="A7" t="s">
        <v>12</v>
      </c>
      <c r="B7" t="s">
        <v>163</v>
      </c>
      <c r="C7" t="s">
        <v>164</v>
      </c>
    </row>
    <row r="8" spans="1:3" x14ac:dyDescent="0.25">
      <c r="A8" t="s">
        <v>12</v>
      </c>
      <c r="B8" t="s">
        <v>165</v>
      </c>
      <c r="C8" t="s">
        <v>81</v>
      </c>
    </row>
    <row r="9" spans="1:3" x14ac:dyDescent="0.25">
      <c r="A9" t="s">
        <v>12</v>
      </c>
      <c r="B9" t="s">
        <v>38</v>
      </c>
      <c r="C9" t="s">
        <v>59</v>
      </c>
    </row>
    <row r="10" spans="1:3" x14ac:dyDescent="0.25">
      <c r="A10" t="s">
        <v>12</v>
      </c>
      <c r="B10" t="s">
        <v>166</v>
      </c>
      <c r="C10" t="s">
        <v>167</v>
      </c>
    </row>
    <row r="11" spans="1:3" x14ac:dyDescent="0.25">
      <c r="A11" t="s">
        <v>12</v>
      </c>
      <c r="B11" t="s">
        <v>40</v>
      </c>
      <c r="C11" t="s">
        <v>19</v>
      </c>
    </row>
    <row r="12" spans="1:3" x14ac:dyDescent="0.25">
      <c r="A12" t="s">
        <v>12</v>
      </c>
      <c r="B12" t="s">
        <v>42</v>
      </c>
      <c r="C12" t="s">
        <v>43</v>
      </c>
    </row>
    <row r="13" spans="1:3" x14ac:dyDescent="0.25">
      <c r="A13" t="s">
        <v>12</v>
      </c>
      <c r="B13" t="s">
        <v>42</v>
      </c>
      <c r="C13" t="s">
        <v>81</v>
      </c>
    </row>
    <row r="14" spans="1:3" x14ac:dyDescent="0.25">
      <c r="A14" t="s">
        <v>12</v>
      </c>
      <c r="B14" t="s">
        <v>168</v>
      </c>
      <c r="C14" t="s">
        <v>59</v>
      </c>
    </row>
    <row r="15" spans="1:3" x14ac:dyDescent="0.25">
      <c r="A15" t="s">
        <v>169</v>
      </c>
      <c r="B15" t="s">
        <v>170</v>
      </c>
      <c r="C15" t="s">
        <v>59</v>
      </c>
    </row>
    <row r="16" spans="1:3" x14ac:dyDescent="0.25">
      <c r="B16" t="s">
        <v>171</v>
      </c>
      <c r="C16" t="s">
        <v>85</v>
      </c>
    </row>
    <row r="17" spans="2:3" x14ac:dyDescent="0.25">
      <c r="B17" t="s">
        <v>98</v>
      </c>
      <c r="C17" t="s">
        <v>59</v>
      </c>
    </row>
    <row r="18" spans="2:3" x14ac:dyDescent="0.25">
      <c r="B18" t="s">
        <v>100</v>
      </c>
      <c r="C18" t="s">
        <v>73</v>
      </c>
    </row>
    <row r="19" spans="2:3" x14ac:dyDescent="0.25">
      <c r="B19" t="s">
        <v>172</v>
      </c>
      <c r="C19" t="s">
        <v>173</v>
      </c>
    </row>
    <row r="20" spans="2:3" x14ac:dyDescent="0.25">
      <c r="B20" t="s">
        <v>58</v>
      </c>
      <c r="C20" t="s">
        <v>59</v>
      </c>
    </row>
    <row r="21" spans="2:3" x14ac:dyDescent="0.25">
      <c r="B21" t="s">
        <v>61</v>
      </c>
      <c r="C21" t="s">
        <v>24</v>
      </c>
    </row>
    <row r="22" spans="2:3" x14ac:dyDescent="0.25">
      <c r="B22" t="s">
        <v>108</v>
      </c>
      <c r="C22" t="s">
        <v>19</v>
      </c>
    </row>
    <row r="23" spans="2:3" x14ac:dyDescent="0.25">
      <c r="B23" t="s">
        <v>174</v>
      </c>
      <c r="C23" t="s">
        <v>175</v>
      </c>
    </row>
    <row r="24" spans="2:3" x14ac:dyDescent="0.25">
      <c r="B24" t="s">
        <v>176</v>
      </c>
      <c r="C24" t="s">
        <v>59</v>
      </c>
    </row>
    <row r="25" spans="2:3" x14ac:dyDescent="0.25">
      <c r="B25" t="s">
        <v>177</v>
      </c>
      <c r="C25" t="s">
        <v>14</v>
      </c>
    </row>
    <row r="26" spans="2:3" x14ac:dyDescent="0.25">
      <c r="B26" t="s">
        <v>178</v>
      </c>
      <c r="C26" t="s">
        <v>19</v>
      </c>
    </row>
    <row r="27" spans="2:3" x14ac:dyDescent="0.25">
      <c r="B27" t="s">
        <v>179</v>
      </c>
      <c r="C27" t="s">
        <v>59</v>
      </c>
    </row>
    <row r="28" spans="2:3" x14ac:dyDescent="0.25">
      <c r="B28" t="s">
        <v>115</v>
      </c>
      <c r="C28" t="s">
        <v>81</v>
      </c>
    </row>
    <row r="29" spans="2:3" x14ac:dyDescent="0.25">
      <c r="B29" t="s">
        <v>118</v>
      </c>
      <c r="C29" t="s">
        <v>180</v>
      </c>
    </row>
    <row r="30" spans="2:3" x14ac:dyDescent="0.25">
      <c r="B30" t="s">
        <v>120</v>
      </c>
      <c r="C30" t="s">
        <v>104</v>
      </c>
    </row>
    <row r="31" spans="2:3" x14ac:dyDescent="0.25">
      <c r="B31" t="s">
        <v>130</v>
      </c>
      <c r="C31" t="s">
        <v>43</v>
      </c>
    </row>
    <row r="32" spans="2:3" x14ac:dyDescent="0.25">
      <c r="B32" t="s">
        <v>181</v>
      </c>
      <c r="C32" t="s">
        <v>24</v>
      </c>
    </row>
    <row r="33" spans="2:3" x14ac:dyDescent="0.25">
      <c r="B33" t="s">
        <v>182</v>
      </c>
      <c r="C33" t="s">
        <v>183</v>
      </c>
    </row>
    <row r="34" spans="2:3" x14ac:dyDescent="0.25">
      <c r="B34" t="s">
        <v>184</v>
      </c>
      <c r="C34" t="s">
        <v>185</v>
      </c>
    </row>
    <row r="35" spans="2:3" x14ac:dyDescent="0.25">
      <c r="B35" t="s">
        <v>186</v>
      </c>
      <c r="C35" t="s">
        <v>24</v>
      </c>
    </row>
    <row r="36" spans="2:3" x14ac:dyDescent="0.25">
      <c r="B36" t="s">
        <v>187</v>
      </c>
      <c r="C36" t="s">
        <v>107</v>
      </c>
    </row>
    <row r="37" spans="2:3" x14ac:dyDescent="0.25">
      <c r="B37" t="s">
        <v>188</v>
      </c>
      <c r="C37" t="s">
        <v>189</v>
      </c>
    </row>
    <row r="38" spans="2:3" x14ac:dyDescent="0.25">
      <c r="B38" t="s">
        <v>190</v>
      </c>
      <c r="C38" t="s">
        <v>24</v>
      </c>
    </row>
    <row r="39" spans="2:3" x14ac:dyDescent="0.25">
      <c r="B39" t="s">
        <v>191</v>
      </c>
      <c r="C39" t="s">
        <v>192</v>
      </c>
    </row>
    <row r="40" spans="2:3" x14ac:dyDescent="0.25">
      <c r="B40" t="s">
        <v>193</v>
      </c>
      <c r="C40" t="s">
        <v>194</v>
      </c>
    </row>
    <row r="41" spans="2:3" x14ac:dyDescent="0.25">
      <c r="B41" t="s">
        <v>78</v>
      </c>
      <c r="C41" t="s">
        <v>19</v>
      </c>
    </row>
    <row r="42" spans="2:3" x14ac:dyDescent="0.25">
      <c r="B42" t="s">
        <v>80</v>
      </c>
      <c r="C42" t="s">
        <v>81</v>
      </c>
    </row>
    <row r="43" spans="2:3" x14ac:dyDescent="0.25">
      <c r="B43" t="s">
        <v>195</v>
      </c>
      <c r="C43" t="s">
        <v>107</v>
      </c>
    </row>
    <row r="44" spans="2:3" x14ac:dyDescent="0.25">
      <c r="B44" t="s">
        <v>87</v>
      </c>
      <c r="C44" t="s">
        <v>88</v>
      </c>
    </row>
    <row r="45" spans="2:3" x14ac:dyDescent="0.25">
      <c r="B45" t="s">
        <v>196</v>
      </c>
      <c r="C45" t="s">
        <v>197</v>
      </c>
    </row>
    <row r="46" spans="2:3" x14ac:dyDescent="0.25">
      <c r="B46" t="s">
        <v>45</v>
      </c>
      <c r="C46" t="s">
        <v>192</v>
      </c>
    </row>
    <row r="47" spans="2:3" x14ac:dyDescent="0.25">
      <c r="B47" t="s">
        <v>124</v>
      </c>
      <c r="C47" t="s">
        <v>125</v>
      </c>
    </row>
    <row r="48" spans="2:3" x14ac:dyDescent="0.25">
      <c r="B48" t="s">
        <v>198</v>
      </c>
      <c r="C48" t="s">
        <v>107</v>
      </c>
    </row>
  </sheetData>
  <autoFilter ref="A1:C83" xr:uid="{B40059EC-9310-4112-99A3-00268D48A4BA}">
    <sortState xmlns:xlrd2="http://schemas.microsoft.com/office/spreadsheetml/2017/richdata2" ref="A2:C83">
      <sortCondition ref="A1:A83"/>
    </sortState>
  </autoFilter>
  <pageMargins left="0.7" right="0.7" top="0.75" bottom="0.75" header="0.3" footer="0.3"/>
  <headerFooter>
    <oddHeader>&amp;C&amp;"Aptos"&amp;10&amp;K000000 NATO UNCLASSIFIED&amp;1#_x000D_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/>
  <dimension ref="A1:A5"/>
  <sheetViews>
    <sheetView workbookViewId="0">
      <selection activeCell="A5" sqref="A5"/>
    </sheetView>
  </sheetViews>
  <sheetFormatPr defaultRowHeight="15" x14ac:dyDescent="0.25"/>
  <cols>
    <col min="1" max="1" width="43.5703125" bestFit="1" customWidth="1"/>
  </cols>
  <sheetData>
    <row r="1" spans="1:1" x14ac:dyDescent="0.25">
      <c r="A1" t="s">
        <v>199</v>
      </c>
    </row>
    <row r="2" spans="1:1" x14ac:dyDescent="0.25">
      <c r="A2" t="s">
        <v>200</v>
      </c>
    </row>
    <row r="3" spans="1:1" x14ac:dyDescent="0.25">
      <c r="A3" t="s">
        <v>201</v>
      </c>
    </row>
    <row r="4" spans="1:1" x14ac:dyDescent="0.25">
      <c r="A4" t="s">
        <v>202</v>
      </c>
    </row>
    <row r="5" spans="1:1" x14ac:dyDescent="0.25">
      <c r="A5" t="s">
        <v>203</v>
      </c>
    </row>
  </sheetData>
  <pageMargins left="0.7" right="0.7" top="0.75" bottom="0.75" header="0.3" footer="0.3"/>
  <headerFooter>
    <oddHeader>&amp;C&amp;"Aptos"&amp;10&amp;K000000 NATO UNCLASSIFIED&amp;1#_x000D_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"/>
  <dimension ref="A1:N989"/>
  <sheetViews>
    <sheetView tabSelected="1" topLeftCell="A76" zoomScale="110" zoomScaleNormal="110" workbookViewId="0">
      <selection activeCell="D92" sqref="D92"/>
    </sheetView>
  </sheetViews>
  <sheetFormatPr defaultRowHeight="15" x14ac:dyDescent="0.25"/>
  <cols>
    <col min="1" max="1" width="57.5703125" bestFit="1" customWidth="1"/>
    <col min="2" max="2" width="35" bestFit="1" customWidth="1"/>
    <col min="3" max="3" width="21.85546875" bestFit="1" customWidth="1"/>
    <col min="4" max="5" width="12.42578125" bestFit="1" customWidth="1"/>
    <col min="6" max="6" width="26.42578125" bestFit="1" customWidth="1"/>
    <col min="7" max="7" width="21.140625" bestFit="1" customWidth="1"/>
  </cols>
  <sheetData>
    <row r="1" spans="1:5" x14ac:dyDescent="0.25">
      <c r="A1" s="1" t="s">
        <v>5</v>
      </c>
      <c r="B1" s="1" t="s">
        <v>204</v>
      </c>
      <c r="C1" s="1" t="s">
        <v>205</v>
      </c>
      <c r="D1" s="1" t="s">
        <v>206</v>
      </c>
      <c r="E1" s="1" t="s">
        <v>207</v>
      </c>
    </row>
    <row r="2" spans="1:5" x14ac:dyDescent="0.25">
      <c r="A2" s="1" t="s">
        <v>33</v>
      </c>
      <c r="B2" t="s">
        <v>13</v>
      </c>
      <c r="C2">
        <v>125</v>
      </c>
      <c r="D2" t="s">
        <v>208</v>
      </c>
    </row>
    <row r="3" spans="1:5" x14ac:dyDescent="0.25">
      <c r="A3" s="10" t="s">
        <v>33</v>
      </c>
      <c r="B3" t="s">
        <v>209</v>
      </c>
      <c r="C3">
        <v>100</v>
      </c>
      <c r="D3" t="s">
        <v>208</v>
      </c>
    </row>
    <row r="4" spans="1:5" x14ac:dyDescent="0.25">
      <c r="A4" s="10" t="s">
        <v>33</v>
      </c>
      <c r="B4" t="s">
        <v>61</v>
      </c>
      <c r="C4">
        <v>25</v>
      </c>
      <c r="D4" t="s">
        <v>208</v>
      </c>
    </row>
    <row r="5" spans="1:5" x14ac:dyDescent="0.25">
      <c r="A5" s="10" t="s">
        <v>33</v>
      </c>
      <c r="B5" t="s">
        <v>210</v>
      </c>
      <c r="C5">
        <v>12.5</v>
      </c>
      <c r="D5" t="s">
        <v>208</v>
      </c>
    </row>
    <row r="6" spans="1:5" x14ac:dyDescent="0.25">
      <c r="A6" s="10" t="s">
        <v>33</v>
      </c>
      <c r="B6" t="s">
        <v>211</v>
      </c>
      <c r="C6">
        <v>0.5</v>
      </c>
      <c r="D6" t="s">
        <v>212</v>
      </c>
    </row>
    <row r="7" spans="1:5" x14ac:dyDescent="0.25">
      <c r="A7" s="10" t="s">
        <v>33</v>
      </c>
      <c r="B7" t="s">
        <v>188</v>
      </c>
      <c r="C7">
        <v>0.75</v>
      </c>
      <c r="D7" t="s">
        <v>213</v>
      </c>
    </row>
    <row r="8" spans="1:5" x14ac:dyDescent="0.25">
      <c r="A8" s="10" t="s">
        <v>33</v>
      </c>
      <c r="B8" t="s">
        <v>214</v>
      </c>
      <c r="C8">
        <v>1.5</v>
      </c>
      <c r="D8" t="s">
        <v>215</v>
      </c>
    </row>
    <row r="9" spans="1:5" x14ac:dyDescent="0.25">
      <c r="A9" s="10" t="s">
        <v>33</v>
      </c>
      <c r="B9" t="s">
        <v>118</v>
      </c>
      <c r="C9">
        <v>0.25</v>
      </c>
      <c r="D9" t="s">
        <v>213</v>
      </c>
    </row>
    <row r="10" spans="1:5" x14ac:dyDescent="0.25">
      <c r="A10" s="10" t="s">
        <v>33</v>
      </c>
      <c r="B10" t="s">
        <v>216</v>
      </c>
      <c r="C10">
        <v>0.25</v>
      </c>
      <c r="D10" t="s">
        <v>213</v>
      </c>
    </row>
    <row r="11" spans="1:5" x14ac:dyDescent="0.25">
      <c r="A11" s="10" t="s">
        <v>33</v>
      </c>
      <c r="B11" t="s">
        <v>217</v>
      </c>
      <c r="C11">
        <v>0.5</v>
      </c>
      <c r="D11" t="s">
        <v>218</v>
      </c>
    </row>
    <row r="12" spans="1:5" x14ac:dyDescent="0.25">
      <c r="A12" s="10" t="s">
        <v>33</v>
      </c>
      <c r="B12" t="s">
        <v>219</v>
      </c>
      <c r="C12">
        <v>0.5</v>
      </c>
      <c r="D12" t="s">
        <v>218</v>
      </c>
    </row>
    <row r="13" spans="1:5" x14ac:dyDescent="0.25">
      <c r="A13" s="1"/>
      <c r="B13" s="1"/>
      <c r="C13" s="1"/>
      <c r="D13" s="1"/>
    </row>
    <row r="14" spans="1:5" x14ac:dyDescent="0.25">
      <c r="A14" s="1" t="s">
        <v>48</v>
      </c>
      <c r="B14" t="s">
        <v>220</v>
      </c>
      <c r="C14">
        <v>25</v>
      </c>
      <c r="D14" t="s">
        <v>208</v>
      </c>
      <c r="E14" t="s">
        <v>221</v>
      </c>
    </row>
    <row r="15" spans="1:5" x14ac:dyDescent="0.25">
      <c r="A15" s="10" t="s">
        <v>48</v>
      </c>
      <c r="B15" t="s">
        <v>222</v>
      </c>
      <c r="C15">
        <v>25</v>
      </c>
      <c r="D15" t="s">
        <v>208</v>
      </c>
    </row>
    <row r="16" spans="1:5" x14ac:dyDescent="0.25">
      <c r="A16" s="10" t="s">
        <v>48</v>
      </c>
      <c r="B16" t="s">
        <v>223</v>
      </c>
      <c r="C16">
        <v>0.25</v>
      </c>
      <c r="D16" t="s">
        <v>213</v>
      </c>
    </row>
    <row r="17" spans="1:5" x14ac:dyDescent="0.25">
      <c r="A17" s="10" t="s">
        <v>48</v>
      </c>
      <c r="B17" t="s">
        <v>224</v>
      </c>
      <c r="C17">
        <v>25</v>
      </c>
      <c r="D17" t="s">
        <v>208</v>
      </c>
    </row>
    <row r="18" spans="1:5" x14ac:dyDescent="0.25">
      <c r="A18" s="10" t="s">
        <v>48</v>
      </c>
      <c r="B18" t="s">
        <v>225</v>
      </c>
      <c r="C18">
        <v>0.25</v>
      </c>
      <c r="D18" t="s">
        <v>215</v>
      </c>
    </row>
    <row r="19" spans="1:5" x14ac:dyDescent="0.25">
      <c r="A19" s="10" t="s">
        <v>48</v>
      </c>
      <c r="B19" t="s">
        <v>112</v>
      </c>
      <c r="C19">
        <v>1</v>
      </c>
      <c r="D19" t="s">
        <v>226</v>
      </c>
    </row>
    <row r="20" spans="1:5" x14ac:dyDescent="0.25">
      <c r="A20" s="10" t="s">
        <v>48</v>
      </c>
      <c r="B20" t="s">
        <v>181</v>
      </c>
      <c r="C20">
        <v>75</v>
      </c>
      <c r="D20" t="s">
        <v>208</v>
      </c>
    </row>
    <row r="21" spans="1:5" x14ac:dyDescent="0.25">
      <c r="A21" s="10" t="s">
        <v>48</v>
      </c>
      <c r="B21" t="s">
        <v>227</v>
      </c>
      <c r="C21">
        <v>75</v>
      </c>
      <c r="D21" t="s">
        <v>208</v>
      </c>
    </row>
    <row r="22" spans="1:5" x14ac:dyDescent="0.25">
      <c r="A22" s="10" t="s">
        <v>48</v>
      </c>
      <c r="B22" t="s">
        <v>228</v>
      </c>
      <c r="C22">
        <v>0.25</v>
      </c>
      <c r="D22" t="s">
        <v>215</v>
      </c>
    </row>
    <row r="23" spans="1:5" x14ac:dyDescent="0.25">
      <c r="A23" s="10" t="s">
        <v>48</v>
      </c>
      <c r="B23" t="s">
        <v>229</v>
      </c>
      <c r="C23">
        <v>0.25</v>
      </c>
      <c r="D23" t="s">
        <v>215</v>
      </c>
    </row>
    <row r="24" spans="1:5" x14ac:dyDescent="0.25">
      <c r="A24" s="10" t="s">
        <v>48</v>
      </c>
      <c r="B24" t="s">
        <v>163</v>
      </c>
      <c r="C24">
        <v>0.5</v>
      </c>
      <c r="D24" t="s">
        <v>215</v>
      </c>
    </row>
    <row r="25" spans="1:5" x14ac:dyDescent="0.25">
      <c r="A25" s="10" t="s">
        <v>48</v>
      </c>
      <c r="B25" t="s">
        <v>193</v>
      </c>
      <c r="C25">
        <v>10</v>
      </c>
      <c r="D25" t="s">
        <v>230</v>
      </c>
    </row>
    <row r="26" spans="1:5" x14ac:dyDescent="0.25">
      <c r="A26" s="10" t="s">
        <v>48</v>
      </c>
      <c r="B26" t="s">
        <v>188</v>
      </c>
      <c r="C26">
        <v>10</v>
      </c>
      <c r="D26" t="s">
        <v>208</v>
      </c>
    </row>
    <row r="27" spans="1:5" x14ac:dyDescent="0.25">
      <c r="A27" s="1"/>
      <c r="B27" s="1"/>
      <c r="C27" s="1"/>
      <c r="D27" s="1"/>
    </row>
    <row r="28" spans="1:5" x14ac:dyDescent="0.25">
      <c r="A28" s="1" t="s">
        <v>50</v>
      </c>
      <c r="B28" t="s">
        <v>42</v>
      </c>
      <c r="C28">
        <v>2</v>
      </c>
      <c r="D28" t="s">
        <v>215</v>
      </c>
      <c r="E28" t="s">
        <v>231</v>
      </c>
    </row>
    <row r="29" spans="1:5" x14ac:dyDescent="0.25">
      <c r="A29" s="10" t="s">
        <v>50</v>
      </c>
      <c r="B29" t="s">
        <v>112</v>
      </c>
      <c r="C29">
        <v>2</v>
      </c>
      <c r="D29" t="s">
        <v>226</v>
      </c>
    </row>
    <row r="30" spans="1:5" x14ac:dyDescent="0.25">
      <c r="A30" s="10" t="s">
        <v>50</v>
      </c>
      <c r="B30" t="s">
        <v>232</v>
      </c>
      <c r="C30">
        <v>1</v>
      </c>
      <c r="D30" t="s">
        <v>215</v>
      </c>
    </row>
    <row r="31" spans="1:5" x14ac:dyDescent="0.25">
      <c r="A31" s="10" t="s">
        <v>50</v>
      </c>
      <c r="B31" t="s">
        <v>233</v>
      </c>
      <c r="C31">
        <v>1</v>
      </c>
      <c r="D31" t="s">
        <v>215</v>
      </c>
    </row>
    <row r="32" spans="1:5" x14ac:dyDescent="0.25">
      <c r="A32" s="10" t="s">
        <v>50</v>
      </c>
      <c r="B32" t="s">
        <v>234</v>
      </c>
      <c r="C32">
        <v>30</v>
      </c>
      <c r="D32" t="s">
        <v>215</v>
      </c>
    </row>
    <row r="33" spans="1:4" x14ac:dyDescent="0.25">
      <c r="A33" s="10" t="s">
        <v>50</v>
      </c>
      <c r="B33" t="s">
        <v>235</v>
      </c>
      <c r="C33">
        <v>125</v>
      </c>
      <c r="D33" t="s">
        <v>208</v>
      </c>
    </row>
    <row r="34" spans="1:4" x14ac:dyDescent="0.25">
      <c r="A34" s="10" t="s">
        <v>50</v>
      </c>
      <c r="B34" t="s">
        <v>210</v>
      </c>
      <c r="C34">
        <v>25</v>
      </c>
      <c r="D34" t="s">
        <v>208</v>
      </c>
    </row>
    <row r="35" spans="1:4" x14ac:dyDescent="0.25">
      <c r="A35" s="10" t="s">
        <v>50</v>
      </c>
      <c r="B35" t="s">
        <v>236</v>
      </c>
      <c r="C35">
        <v>25</v>
      </c>
      <c r="D35" t="s">
        <v>208</v>
      </c>
    </row>
    <row r="36" spans="1:4" x14ac:dyDescent="0.25">
      <c r="A36" s="10" t="s">
        <v>50</v>
      </c>
      <c r="B36" t="s">
        <v>237</v>
      </c>
      <c r="C36">
        <v>1</v>
      </c>
      <c r="D36" t="s">
        <v>218</v>
      </c>
    </row>
    <row r="37" spans="1:4" x14ac:dyDescent="0.25">
      <c r="A37" s="10" t="s">
        <v>50</v>
      </c>
      <c r="B37" t="s">
        <v>238</v>
      </c>
      <c r="C37">
        <v>1</v>
      </c>
      <c r="D37" t="s">
        <v>213</v>
      </c>
    </row>
    <row r="38" spans="1:4" x14ac:dyDescent="0.25">
      <c r="A38" s="10" t="s">
        <v>50</v>
      </c>
      <c r="B38" t="s">
        <v>118</v>
      </c>
      <c r="C38">
        <v>1</v>
      </c>
      <c r="D38" t="s">
        <v>213</v>
      </c>
    </row>
    <row r="39" spans="1:4" x14ac:dyDescent="0.25">
      <c r="A39" s="10" t="s">
        <v>50</v>
      </c>
      <c r="B39" t="s">
        <v>216</v>
      </c>
      <c r="C39">
        <v>1</v>
      </c>
      <c r="D39" t="s">
        <v>213</v>
      </c>
    </row>
    <row r="40" spans="1:4" x14ac:dyDescent="0.25">
      <c r="A40" s="10" t="s">
        <v>50</v>
      </c>
      <c r="B40" t="s">
        <v>239</v>
      </c>
      <c r="C40">
        <v>1</v>
      </c>
      <c r="D40" t="s">
        <v>218</v>
      </c>
    </row>
    <row r="41" spans="1:4" x14ac:dyDescent="0.25">
      <c r="A41" s="3"/>
    </row>
    <row r="42" spans="1:4" x14ac:dyDescent="0.25">
      <c r="A42" s="4" t="s">
        <v>84</v>
      </c>
      <c r="B42" t="s">
        <v>112</v>
      </c>
      <c r="C42">
        <v>1</v>
      </c>
      <c r="D42" t="s">
        <v>226</v>
      </c>
    </row>
    <row r="43" spans="1:4" x14ac:dyDescent="0.25">
      <c r="A43" s="10" t="s">
        <v>84</v>
      </c>
      <c r="B43" t="s">
        <v>36</v>
      </c>
      <c r="C43">
        <v>0.5</v>
      </c>
      <c r="D43" t="s">
        <v>215</v>
      </c>
    </row>
    <row r="44" spans="1:4" x14ac:dyDescent="0.25">
      <c r="A44" s="10" t="s">
        <v>84</v>
      </c>
      <c r="B44" t="s">
        <v>38</v>
      </c>
      <c r="C44">
        <v>0.5</v>
      </c>
      <c r="D44" t="s">
        <v>215</v>
      </c>
    </row>
    <row r="45" spans="1:4" x14ac:dyDescent="0.25">
      <c r="A45" s="10" t="s">
        <v>84</v>
      </c>
      <c r="B45" t="s">
        <v>58</v>
      </c>
      <c r="C45">
        <v>0.5</v>
      </c>
      <c r="D45" t="s">
        <v>215</v>
      </c>
    </row>
    <row r="46" spans="1:4" x14ac:dyDescent="0.25">
      <c r="A46" s="10" t="s">
        <v>84</v>
      </c>
      <c r="B46" t="s">
        <v>240</v>
      </c>
      <c r="C46">
        <v>100</v>
      </c>
      <c r="D46" t="s">
        <v>208</v>
      </c>
    </row>
    <row r="47" spans="1:4" x14ac:dyDescent="0.25">
      <c r="A47" s="10" t="s">
        <v>84</v>
      </c>
      <c r="B47" t="s">
        <v>181</v>
      </c>
      <c r="C47">
        <v>75</v>
      </c>
      <c r="D47" t="s">
        <v>208</v>
      </c>
    </row>
    <row r="48" spans="1:4" x14ac:dyDescent="0.25">
      <c r="A48" s="10" t="s">
        <v>84</v>
      </c>
      <c r="B48" t="s">
        <v>188</v>
      </c>
      <c r="C48">
        <v>10</v>
      </c>
      <c r="D48" t="s">
        <v>208</v>
      </c>
    </row>
    <row r="49" spans="1:4" x14ac:dyDescent="0.25">
      <c r="A49" s="10" t="s">
        <v>84</v>
      </c>
      <c r="B49" t="s">
        <v>224</v>
      </c>
      <c r="C49">
        <v>10</v>
      </c>
      <c r="D49" t="s">
        <v>208</v>
      </c>
    </row>
    <row r="50" spans="1:4" x14ac:dyDescent="0.25">
      <c r="A50" s="10" t="s">
        <v>84</v>
      </c>
      <c r="B50" t="s">
        <v>241</v>
      </c>
      <c r="C50">
        <v>2</v>
      </c>
      <c r="D50" t="s">
        <v>242</v>
      </c>
    </row>
    <row r="51" spans="1:4" x14ac:dyDescent="0.25">
      <c r="A51" s="10" t="s">
        <v>84</v>
      </c>
      <c r="B51" t="s">
        <v>193</v>
      </c>
      <c r="C51">
        <v>10</v>
      </c>
      <c r="D51" t="s">
        <v>230</v>
      </c>
    </row>
    <row r="52" spans="1:4" x14ac:dyDescent="0.25">
      <c r="A52" s="10" t="s">
        <v>84</v>
      </c>
      <c r="B52" t="s">
        <v>216</v>
      </c>
      <c r="C52">
        <v>1</v>
      </c>
      <c r="D52" t="s">
        <v>218</v>
      </c>
    </row>
    <row r="53" spans="1:4" x14ac:dyDescent="0.25">
      <c r="A53" s="10" t="s">
        <v>84</v>
      </c>
      <c r="B53" t="s">
        <v>243</v>
      </c>
      <c r="C53">
        <v>1</v>
      </c>
      <c r="D53" t="s">
        <v>213</v>
      </c>
    </row>
    <row r="54" spans="1:4" x14ac:dyDescent="0.25">
      <c r="A54" s="10" t="s">
        <v>84</v>
      </c>
      <c r="B54" t="s">
        <v>244</v>
      </c>
      <c r="C54">
        <v>15</v>
      </c>
      <c r="D54" t="s">
        <v>208</v>
      </c>
    </row>
    <row r="55" spans="1:4" x14ac:dyDescent="0.25">
      <c r="A55" s="10" t="s">
        <v>84</v>
      </c>
      <c r="B55" t="s">
        <v>245</v>
      </c>
      <c r="C55">
        <v>1</v>
      </c>
      <c r="D55" t="s">
        <v>213</v>
      </c>
    </row>
    <row r="56" spans="1:4" x14ac:dyDescent="0.25">
      <c r="A56" s="10" t="s">
        <v>84</v>
      </c>
      <c r="B56" t="s">
        <v>118</v>
      </c>
      <c r="C56">
        <v>1</v>
      </c>
      <c r="D56" t="s">
        <v>213</v>
      </c>
    </row>
    <row r="57" spans="1:4" x14ac:dyDescent="0.25">
      <c r="A57" s="10" t="s">
        <v>84</v>
      </c>
      <c r="B57" t="s">
        <v>110</v>
      </c>
      <c r="C57">
        <v>0.25</v>
      </c>
      <c r="D57" t="s">
        <v>246</v>
      </c>
    </row>
    <row r="59" spans="1:4" x14ac:dyDescent="0.25">
      <c r="A59" s="4" t="s">
        <v>89</v>
      </c>
      <c r="B59" t="s">
        <v>247</v>
      </c>
      <c r="C59">
        <v>100</v>
      </c>
      <c r="D59" t="s">
        <v>208</v>
      </c>
    </row>
    <row r="60" spans="1:4" x14ac:dyDescent="0.25">
      <c r="A60" s="10" t="s">
        <v>89</v>
      </c>
      <c r="B60" t="s">
        <v>248</v>
      </c>
      <c r="C60">
        <v>0.5</v>
      </c>
      <c r="D60" t="s">
        <v>215</v>
      </c>
    </row>
    <row r="61" spans="1:4" x14ac:dyDescent="0.25">
      <c r="A61" s="10" t="s">
        <v>89</v>
      </c>
      <c r="B61" t="s">
        <v>8</v>
      </c>
      <c r="C61">
        <v>0.5</v>
      </c>
      <c r="D61" t="s">
        <v>215</v>
      </c>
    </row>
    <row r="62" spans="1:4" x14ac:dyDescent="0.25">
      <c r="A62" s="10" t="s">
        <v>89</v>
      </c>
      <c r="B62" t="s">
        <v>112</v>
      </c>
      <c r="C62">
        <v>0.5</v>
      </c>
      <c r="D62" t="s">
        <v>226</v>
      </c>
    </row>
    <row r="63" spans="1:4" x14ac:dyDescent="0.25">
      <c r="A63" s="10" t="s">
        <v>89</v>
      </c>
      <c r="B63" t="s">
        <v>163</v>
      </c>
      <c r="C63">
        <v>0.5</v>
      </c>
      <c r="D63" t="s">
        <v>215</v>
      </c>
    </row>
    <row r="64" spans="1:4" x14ac:dyDescent="0.25">
      <c r="A64" s="10" t="s">
        <v>89</v>
      </c>
      <c r="B64" t="s">
        <v>42</v>
      </c>
      <c r="C64">
        <v>0.5</v>
      </c>
      <c r="D64" t="s">
        <v>215</v>
      </c>
    </row>
    <row r="65" spans="1:5" x14ac:dyDescent="0.25">
      <c r="A65" s="10" t="s">
        <v>89</v>
      </c>
      <c r="B65" t="s">
        <v>249</v>
      </c>
      <c r="C65">
        <v>0.5</v>
      </c>
      <c r="D65" t="s">
        <v>250</v>
      </c>
    </row>
    <row r="66" spans="1:5" x14ac:dyDescent="0.25">
      <c r="A66" s="10" t="s">
        <v>89</v>
      </c>
      <c r="B66" t="s">
        <v>251</v>
      </c>
      <c r="C66">
        <v>25</v>
      </c>
      <c r="D66" t="s">
        <v>208</v>
      </c>
    </row>
    <row r="67" spans="1:5" x14ac:dyDescent="0.25">
      <c r="A67" s="10" t="s">
        <v>89</v>
      </c>
      <c r="B67" t="s">
        <v>210</v>
      </c>
      <c r="C67">
        <v>25</v>
      </c>
      <c r="D67" t="s">
        <v>208</v>
      </c>
    </row>
    <row r="68" spans="1:5" x14ac:dyDescent="0.25">
      <c r="A68" s="10" t="s">
        <v>89</v>
      </c>
      <c r="B68" t="s">
        <v>252</v>
      </c>
      <c r="C68">
        <v>25</v>
      </c>
      <c r="D68" t="s">
        <v>208</v>
      </c>
    </row>
    <row r="69" spans="1:5" x14ac:dyDescent="0.25">
      <c r="A69" s="10" t="s">
        <v>89</v>
      </c>
      <c r="B69" s="2" t="s">
        <v>253</v>
      </c>
      <c r="C69">
        <v>1</v>
      </c>
      <c r="D69" t="s">
        <v>218</v>
      </c>
    </row>
    <row r="70" spans="1:5" x14ac:dyDescent="0.25">
      <c r="A70" s="10" t="s">
        <v>89</v>
      </c>
      <c r="B70" s="2" t="s">
        <v>118</v>
      </c>
      <c r="C70">
        <v>1</v>
      </c>
      <c r="D70" t="s">
        <v>213</v>
      </c>
    </row>
    <row r="71" spans="1:5" x14ac:dyDescent="0.25">
      <c r="A71" s="10" t="s">
        <v>89</v>
      </c>
      <c r="B71" s="2" t="s">
        <v>254</v>
      </c>
      <c r="C71">
        <v>1</v>
      </c>
      <c r="D71" t="s">
        <v>218</v>
      </c>
    </row>
    <row r="72" spans="1:5" x14ac:dyDescent="0.25">
      <c r="A72" s="10" t="s">
        <v>89</v>
      </c>
      <c r="B72" s="2" t="s">
        <v>195</v>
      </c>
      <c r="C72">
        <v>25</v>
      </c>
      <c r="D72" t="s">
        <v>208</v>
      </c>
    </row>
    <row r="74" spans="1:5" x14ac:dyDescent="0.25">
      <c r="A74" s="1" t="s">
        <v>41</v>
      </c>
      <c r="B74" s="2" t="s">
        <v>179</v>
      </c>
      <c r="C74">
        <v>1</v>
      </c>
      <c r="D74" t="s">
        <v>215</v>
      </c>
      <c r="E74" t="s">
        <v>255</v>
      </c>
    </row>
    <row r="75" spans="1:5" x14ac:dyDescent="0.25">
      <c r="A75" s="10" t="s">
        <v>41</v>
      </c>
      <c r="B75" s="2" t="s">
        <v>190</v>
      </c>
      <c r="C75">
        <v>50</v>
      </c>
      <c r="D75" t="s">
        <v>208</v>
      </c>
    </row>
    <row r="76" spans="1:5" x14ac:dyDescent="0.25">
      <c r="A76" s="10" t="s">
        <v>41</v>
      </c>
      <c r="B76" s="2" t="s">
        <v>176</v>
      </c>
      <c r="C76">
        <v>1</v>
      </c>
      <c r="D76" t="s">
        <v>215</v>
      </c>
    </row>
    <row r="77" spans="1:5" x14ac:dyDescent="0.25">
      <c r="A77" s="10" t="s">
        <v>41</v>
      </c>
      <c r="B77" s="2" t="s">
        <v>182</v>
      </c>
      <c r="C77">
        <v>0.25</v>
      </c>
      <c r="D77" t="s">
        <v>215</v>
      </c>
    </row>
    <row r="78" spans="1:5" x14ac:dyDescent="0.25">
      <c r="A78" s="10" t="s">
        <v>41</v>
      </c>
      <c r="B78" s="2" t="s">
        <v>172</v>
      </c>
      <c r="C78">
        <v>30</v>
      </c>
      <c r="D78" t="s">
        <v>208</v>
      </c>
    </row>
    <row r="79" spans="1:5" x14ac:dyDescent="0.25">
      <c r="A79" s="10" t="s">
        <v>41</v>
      </c>
      <c r="B79" s="2" t="s">
        <v>42</v>
      </c>
      <c r="C79">
        <v>0.5</v>
      </c>
      <c r="D79" t="s">
        <v>215</v>
      </c>
    </row>
    <row r="80" spans="1:5" x14ac:dyDescent="0.25">
      <c r="A80" s="10" t="s">
        <v>41</v>
      </c>
      <c r="B80" s="2" t="s">
        <v>184</v>
      </c>
      <c r="C80">
        <v>150</v>
      </c>
      <c r="D80" t="s">
        <v>208</v>
      </c>
    </row>
    <row r="81" spans="1:5" x14ac:dyDescent="0.25">
      <c r="A81" s="10" t="s">
        <v>41</v>
      </c>
      <c r="B81" s="2" t="s">
        <v>166</v>
      </c>
      <c r="C81">
        <v>0.5</v>
      </c>
      <c r="D81" t="s">
        <v>256</v>
      </c>
    </row>
    <row r="82" spans="1:5" x14ac:dyDescent="0.25">
      <c r="A82" s="10" t="s">
        <v>41</v>
      </c>
      <c r="B82" s="2" t="s">
        <v>112</v>
      </c>
      <c r="C82">
        <v>0.5</v>
      </c>
      <c r="D82" t="s">
        <v>226</v>
      </c>
    </row>
    <row r="83" spans="1:5" x14ac:dyDescent="0.25">
      <c r="A83" s="10" t="s">
        <v>41</v>
      </c>
      <c r="B83" s="2" t="s">
        <v>118</v>
      </c>
      <c r="C83">
        <v>1</v>
      </c>
      <c r="D83" t="s">
        <v>213</v>
      </c>
    </row>
    <row r="84" spans="1:5" x14ac:dyDescent="0.25">
      <c r="A84" s="3"/>
    </row>
    <row r="85" spans="1:5" x14ac:dyDescent="0.25">
      <c r="A85" s="1" t="s">
        <v>101</v>
      </c>
      <c r="B85" s="2" t="s">
        <v>120</v>
      </c>
      <c r="C85">
        <v>125</v>
      </c>
      <c r="D85" t="s">
        <v>208</v>
      </c>
    </row>
    <row r="86" spans="1:5" x14ac:dyDescent="0.25">
      <c r="A86" s="10" t="s">
        <v>101</v>
      </c>
      <c r="B86" s="2" t="s">
        <v>225</v>
      </c>
      <c r="C86">
        <v>0.25</v>
      </c>
      <c r="D86" t="s">
        <v>215</v>
      </c>
    </row>
    <row r="87" spans="1:5" x14ac:dyDescent="0.25">
      <c r="A87" s="10" t="s">
        <v>101</v>
      </c>
      <c r="B87" s="2" t="s">
        <v>257</v>
      </c>
      <c r="C87">
        <v>0.25</v>
      </c>
      <c r="D87" t="s">
        <v>215</v>
      </c>
    </row>
    <row r="88" spans="1:5" x14ac:dyDescent="0.25">
      <c r="A88" s="10" t="s">
        <v>101</v>
      </c>
      <c r="B88" s="2" t="s">
        <v>258</v>
      </c>
      <c r="C88">
        <v>0.5</v>
      </c>
      <c r="D88" t="s">
        <v>215</v>
      </c>
    </row>
    <row r="89" spans="1:5" x14ac:dyDescent="0.25">
      <c r="A89" s="10" t="s">
        <v>101</v>
      </c>
      <c r="B89" s="2" t="s">
        <v>259</v>
      </c>
      <c r="C89">
        <v>0.375</v>
      </c>
      <c r="D89" t="s">
        <v>260</v>
      </c>
    </row>
    <row r="90" spans="1:5" x14ac:dyDescent="0.25">
      <c r="A90" s="10" t="s">
        <v>101</v>
      </c>
      <c r="B90" s="2" t="s">
        <v>210</v>
      </c>
      <c r="C90">
        <v>50</v>
      </c>
      <c r="D90" t="s">
        <v>208</v>
      </c>
    </row>
    <row r="91" spans="1:5" x14ac:dyDescent="0.25">
      <c r="A91" s="10" t="s">
        <v>101</v>
      </c>
      <c r="B91" s="2" t="s">
        <v>261</v>
      </c>
      <c r="C91">
        <v>25</v>
      </c>
      <c r="D91" t="s">
        <v>230</v>
      </c>
    </row>
    <row r="92" spans="1:5" x14ac:dyDescent="0.25">
      <c r="A92" s="10" t="s">
        <v>101</v>
      </c>
      <c r="B92" s="2" t="s">
        <v>118</v>
      </c>
      <c r="C92">
        <v>1</v>
      </c>
      <c r="D92" t="s">
        <v>213</v>
      </c>
    </row>
    <row r="94" spans="1:5" x14ac:dyDescent="0.25">
      <c r="A94" s="1" t="s">
        <v>137</v>
      </c>
      <c r="B94" t="s">
        <v>28</v>
      </c>
      <c r="C94">
        <v>125</v>
      </c>
      <c r="D94" t="s">
        <v>208</v>
      </c>
      <c r="E94" t="s">
        <v>262</v>
      </c>
    </row>
    <row r="95" spans="1:5" x14ac:dyDescent="0.25">
      <c r="A95" s="10" t="s">
        <v>137</v>
      </c>
      <c r="B95" t="s">
        <v>96</v>
      </c>
      <c r="C95">
        <v>3.75</v>
      </c>
      <c r="D95" t="s">
        <v>208</v>
      </c>
    </row>
    <row r="96" spans="1:5" x14ac:dyDescent="0.25">
      <c r="A96" s="10" t="s">
        <v>137</v>
      </c>
      <c r="B96" t="s">
        <v>263</v>
      </c>
      <c r="C96">
        <v>18.75</v>
      </c>
      <c r="D96" t="s">
        <v>208</v>
      </c>
    </row>
    <row r="97" spans="1:5" x14ac:dyDescent="0.25">
      <c r="A97" s="10" t="s">
        <v>137</v>
      </c>
      <c r="B97" t="s">
        <v>264</v>
      </c>
      <c r="C97">
        <v>75</v>
      </c>
      <c r="D97" t="s">
        <v>208</v>
      </c>
    </row>
    <row r="98" spans="1:5" x14ac:dyDescent="0.25">
      <c r="A98" s="10" t="s">
        <v>137</v>
      </c>
      <c r="B98" t="s">
        <v>58</v>
      </c>
      <c r="C98">
        <v>1.25</v>
      </c>
      <c r="D98" t="s">
        <v>215</v>
      </c>
    </row>
    <row r="99" spans="1:5" x14ac:dyDescent="0.25">
      <c r="A99" s="10" t="s">
        <v>137</v>
      </c>
      <c r="B99" t="s">
        <v>265</v>
      </c>
      <c r="C99">
        <v>50</v>
      </c>
      <c r="D99" t="s">
        <v>230</v>
      </c>
    </row>
    <row r="100" spans="1:5" x14ac:dyDescent="0.25">
      <c r="A100" s="10" t="s">
        <v>137</v>
      </c>
      <c r="B100" t="s">
        <v>266</v>
      </c>
      <c r="C100">
        <v>25</v>
      </c>
      <c r="D100" t="s">
        <v>208</v>
      </c>
    </row>
    <row r="101" spans="1:5" x14ac:dyDescent="0.25">
      <c r="A101" s="10" t="s">
        <v>137</v>
      </c>
      <c r="B101" t="s">
        <v>72</v>
      </c>
      <c r="C101">
        <v>0.25</v>
      </c>
      <c r="D101" t="s">
        <v>215</v>
      </c>
    </row>
    <row r="102" spans="1:5" x14ac:dyDescent="0.25">
      <c r="A102" s="3"/>
    </row>
    <row r="103" spans="1:5" x14ac:dyDescent="0.25">
      <c r="A103" s="1" t="s">
        <v>144</v>
      </c>
      <c r="B103" t="s">
        <v>267</v>
      </c>
      <c r="C103">
        <v>0.25</v>
      </c>
      <c r="D103" t="s">
        <v>268</v>
      </c>
      <c r="E103" t="s">
        <v>269</v>
      </c>
    </row>
    <row r="104" spans="1:5" x14ac:dyDescent="0.25">
      <c r="A104" s="10" t="s">
        <v>144</v>
      </c>
      <c r="B104" t="s">
        <v>270</v>
      </c>
      <c r="C104">
        <v>175</v>
      </c>
      <c r="D104" t="s">
        <v>208</v>
      </c>
    </row>
    <row r="105" spans="1:5" x14ac:dyDescent="0.25">
      <c r="A105" s="10" t="s">
        <v>144</v>
      </c>
      <c r="B105" t="s">
        <v>271</v>
      </c>
      <c r="C105">
        <v>125</v>
      </c>
      <c r="D105" t="s">
        <v>208</v>
      </c>
    </row>
    <row r="106" spans="1:5" x14ac:dyDescent="0.25">
      <c r="A106" s="10" t="s">
        <v>144</v>
      </c>
      <c r="B106" t="s">
        <v>45</v>
      </c>
      <c r="C106">
        <v>0.75</v>
      </c>
      <c r="D106" t="s">
        <v>215</v>
      </c>
    </row>
    <row r="107" spans="1:5" x14ac:dyDescent="0.25">
      <c r="A107" s="10" t="s">
        <v>144</v>
      </c>
      <c r="B107" t="s">
        <v>272</v>
      </c>
      <c r="C107">
        <v>25</v>
      </c>
      <c r="D107" t="s">
        <v>230</v>
      </c>
    </row>
    <row r="108" spans="1:5" x14ac:dyDescent="0.25">
      <c r="A108" s="10" t="s">
        <v>144</v>
      </c>
      <c r="B108" t="s">
        <v>112</v>
      </c>
      <c r="C108">
        <v>0.25</v>
      </c>
      <c r="D108" t="s">
        <v>226</v>
      </c>
    </row>
    <row r="109" spans="1:5" x14ac:dyDescent="0.25">
      <c r="A109" s="10" t="s">
        <v>144</v>
      </c>
      <c r="B109" t="s">
        <v>115</v>
      </c>
      <c r="C109">
        <v>0.25</v>
      </c>
      <c r="D109" t="s">
        <v>215</v>
      </c>
    </row>
    <row r="110" spans="1:5" x14ac:dyDescent="0.25">
      <c r="A110" s="10" t="s">
        <v>144</v>
      </c>
      <c r="B110" t="s">
        <v>273</v>
      </c>
      <c r="C110">
        <v>0.25</v>
      </c>
      <c r="D110" t="s">
        <v>213</v>
      </c>
    </row>
    <row r="111" spans="1:5" x14ac:dyDescent="0.25">
      <c r="A111" s="10" t="s">
        <v>144</v>
      </c>
      <c r="B111" t="s">
        <v>274</v>
      </c>
      <c r="C111">
        <v>0.5</v>
      </c>
      <c r="D111" t="s">
        <v>218</v>
      </c>
    </row>
    <row r="112" spans="1:5" x14ac:dyDescent="0.25">
      <c r="A112" s="10" t="s">
        <v>144</v>
      </c>
      <c r="B112" t="s">
        <v>275</v>
      </c>
      <c r="C112">
        <v>0.5</v>
      </c>
      <c r="D112" t="s">
        <v>213</v>
      </c>
    </row>
    <row r="113" spans="1:7" x14ac:dyDescent="0.25">
      <c r="A113" s="10" t="s">
        <v>144</v>
      </c>
      <c r="B113" t="s">
        <v>219</v>
      </c>
      <c r="C113">
        <v>1</v>
      </c>
      <c r="D113" t="s">
        <v>218</v>
      </c>
    </row>
    <row r="114" spans="1:7" x14ac:dyDescent="0.25">
      <c r="A114" s="10" t="s">
        <v>144</v>
      </c>
      <c r="B114" t="s">
        <v>118</v>
      </c>
      <c r="C114">
        <v>1</v>
      </c>
      <c r="D114" t="s">
        <v>213</v>
      </c>
    </row>
    <row r="115" spans="1:7" x14ac:dyDescent="0.25">
      <c r="A115" s="3"/>
    </row>
    <row r="116" spans="1:7" x14ac:dyDescent="0.25">
      <c r="A116" s="1" t="s">
        <v>15</v>
      </c>
      <c r="B116" t="s">
        <v>276</v>
      </c>
      <c r="C116">
        <v>62.5</v>
      </c>
      <c r="D116" t="s">
        <v>208</v>
      </c>
      <c r="E116" t="s">
        <v>277</v>
      </c>
    </row>
    <row r="117" spans="1:7" x14ac:dyDescent="0.25">
      <c r="A117" s="10" t="s">
        <v>15</v>
      </c>
      <c r="B117" t="s">
        <v>112</v>
      </c>
      <c r="C117">
        <v>0.25</v>
      </c>
      <c r="D117" t="s">
        <v>226</v>
      </c>
    </row>
    <row r="118" spans="1:7" x14ac:dyDescent="0.25">
      <c r="A118" s="10" t="s">
        <v>15</v>
      </c>
      <c r="B118" t="s">
        <v>241</v>
      </c>
      <c r="C118">
        <v>0.25</v>
      </c>
      <c r="D118" t="s">
        <v>242</v>
      </c>
    </row>
    <row r="119" spans="1:7" x14ac:dyDescent="0.25">
      <c r="A119" s="10" t="s">
        <v>15</v>
      </c>
      <c r="B119" t="s">
        <v>38</v>
      </c>
      <c r="C119">
        <v>1</v>
      </c>
      <c r="D119" t="s">
        <v>215</v>
      </c>
    </row>
    <row r="120" spans="1:7" x14ac:dyDescent="0.25">
      <c r="A120" s="10" t="s">
        <v>15</v>
      </c>
      <c r="B120" t="s">
        <v>45</v>
      </c>
      <c r="C120">
        <v>0.5</v>
      </c>
      <c r="D120" t="s">
        <v>215</v>
      </c>
    </row>
    <row r="121" spans="1:7" x14ac:dyDescent="0.25">
      <c r="A121" s="10" t="s">
        <v>15</v>
      </c>
      <c r="B121" t="s">
        <v>248</v>
      </c>
      <c r="C121">
        <v>50</v>
      </c>
      <c r="D121" t="s">
        <v>208</v>
      </c>
    </row>
    <row r="122" spans="1:7" x14ac:dyDescent="0.25">
      <c r="A122" s="10" t="s">
        <v>15</v>
      </c>
      <c r="B122" t="s">
        <v>36</v>
      </c>
      <c r="C122">
        <v>0.25</v>
      </c>
      <c r="D122" t="s">
        <v>215</v>
      </c>
    </row>
    <row r="123" spans="1:7" x14ac:dyDescent="0.25">
      <c r="A123" s="10" t="s">
        <v>15</v>
      </c>
      <c r="B123" t="s">
        <v>118</v>
      </c>
      <c r="C123">
        <v>1</v>
      </c>
      <c r="D123" t="s">
        <v>213</v>
      </c>
    </row>
    <row r="124" spans="1:7" x14ac:dyDescent="0.25">
      <c r="A124" s="10" t="s">
        <v>15</v>
      </c>
      <c r="B124" t="s">
        <v>193</v>
      </c>
      <c r="C124">
        <v>0.75</v>
      </c>
      <c r="D124" t="s">
        <v>213</v>
      </c>
    </row>
    <row r="125" spans="1:7" x14ac:dyDescent="0.25">
      <c r="A125" s="10" t="s">
        <v>15</v>
      </c>
      <c r="B125" t="s">
        <v>278</v>
      </c>
      <c r="C125">
        <v>12.5</v>
      </c>
      <c r="D125" t="s">
        <v>208</v>
      </c>
    </row>
    <row r="126" spans="1:7" x14ac:dyDescent="0.25">
      <c r="A126" s="10" t="s">
        <v>15</v>
      </c>
      <c r="B126" t="s">
        <v>58</v>
      </c>
      <c r="C126">
        <v>1</v>
      </c>
      <c r="D126" t="s">
        <v>215</v>
      </c>
    </row>
    <row r="127" spans="1:7" x14ac:dyDescent="0.25">
      <c r="A127" s="10"/>
      <c r="F127" s="7"/>
      <c r="G127" s="5"/>
    </row>
    <row r="128" spans="1:7" x14ac:dyDescent="0.25">
      <c r="A128" s="1" t="s">
        <v>29</v>
      </c>
      <c r="B128" t="s">
        <v>13</v>
      </c>
      <c r="C128">
        <v>125</v>
      </c>
      <c r="D128" t="s">
        <v>208</v>
      </c>
      <c r="E128" t="s">
        <v>231</v>
      </c>
      <c r="F128" s="5"/>
      <c r="G128" s="5"/>
    </row>
    <row r="129" spans="1:7" x14ac:dyDescent="0.25">
      <c r="A129" s="10" t="s">
        <v>29</v>
      </c>
      <c r="B129" t="s">
        <v>45</v>
      </c>
      <c r="C129">
        <v>0.25</v>
      </c>
      <c r="D129" t="s">
        <v>215</v>
      </c>
      <c r="F129" s="5"/>
      <c r="G129" s="5"/>
    </row>
    <row r="130" spans="1:7" x14ac:dyDescent="0.25">
      <c r="A130" s="10" t="s">
        <v>29</v>
      </c>
      <c r="B130" t="s">
        <v>279</v>
      </c>
      <c r="C130">
        <v>0.5</v>
      </c>
      <c r="D130" t="s">
        <v>215</v>
      </c>
      <c r="F130" s="5"/>
      <c r="G130" s="5"/>
    </row>
    <row r="131" spans="1:7" x14ac:dyDescent="0.25">
      <c r="A131" s="10" t="s">
        <v>29</v>
      </c>
      <c r="B131" t="s">
        <v>112</v>
      </c>
      <c r="C131">
        <v>0.5</v>
      </c>
      <c r="D131" t="s">
        <v>226</v>
      </c>
      <c r="F131" s="5"/>
      <c r="G131" s="5"/>
    </row>
    <row r="132" spans="1:7" x14ac:dyDescent="0.25">
      <c r="A132" s="10" t="s">
        <v>29</v>
      </c>
      <c r="B132" t="s">
        <v>280</v>
      </c>
      <c r="C132">
        <v>0.25</v>
      </c>
      <c r="D132" t="s">
        <v>281</v>
      </c>
      <c r="F132" s="5"/>
      <c r="G132" s="5"/>
    </row>
    <row r="133" spans="1:7" x14ac:dyDescent="0.25">
      <c r="A133" s="10" t="s">
        <v>29</v>
      </c>
      <c r="B133" t="s">
        <v>236</v>
      </c>
      <c r="C133">
        <v>30</v>
      </c>
      <c r="D133" t="s">
        <v>230</v>
      </c>
      <c r="F133" s="5"/>
      <c r="G133" s="5"/>
    </row>
    <row r="134" spans="1:7" x14ac:dyDescent="0.25">
      <c r="A134" s="10" t="s">
        <v>29</v>
      </c>
      <c r="B134" t="s">
        <v>282</v>
      </c>
      <c r="C134">
        <v>1</v>
      </c>
      <c r="D134" t="s">
        <v>283</v>
      </c>
      <c r="F134" s="5"/>
      <c r="G134" s="5"/>
    </row>
    <row r="135" spans="1:7" x14ac:dyDescent="0.25">
      <c r="A135" s="10" t="s">
        <v>29</v>
      </c>
      <c r="B135" t="s">
        <v>118</v>
      </c>
      <c r="C135">
        <v>1</v>
      </c>
      <c r="D135" t="s">
        <v>213</v>
      </c>
      <c r="F135" s="5"/>
      <c r="G135" s="5"/>
    </row>
    <row r="136" spans="1:7" ht="14.45" customHeight="1" x14ac:dyDescent="0.25">
      <c r="A136" s="10" t="s">
        <v>29</v>
      </c>
      <c r="B136" t="s">
        <v>284</v>
      </c>
      <c r="C136">
        <v>1</v>
      </c>
      <c r="D136" t="s">
        <v>215</v>
      </c>
      <c r="F136" s="5"/>
      <c r="G136" s="5"/>
    </row>
    <row r="137" spans="1:7" x14ac:dyDescent="0.25">
      <c r="A137" s="10" t="s">
        <v>29</v>
      </c>
      <c r="B137" t="s">
        <v>285</v>
      </c>
      <c r="C137">
        <v>5</v>
      </c>
      <c r="D137" t="s">
        <v>208</v>
      </c>
      <c r="F137" s="5"/>
      <c r="G137" s="5"/>
    </row>
    <row r="138" spans="1:7" x14ac:dyDescent="0.25">
      <c r="E138" t="s">
        <v>231</v>
      </c>
      <c r="F138" s="8"/>
      <c r="G138" s="8"/>
    </row>
    <row r="139" spans="1:7" x14ac:dyDescent="0.25">
      <c r="A139" s="1" t="s">
        <v>22</v>
      </c>
      <c r="B139" t="s">
        <v>55</v>
      </c>
      <c r="C139">
        <v>0.25</v>
      </c>
      <c r="D139" t="s">
        <v>286</v>
      </c>
      <c r="F139" s="12"/>
      <c r="G139" s="12"/>
    </row>
    <row r="140" spans="1:7" x14ac:dyDescent="0.25">
      <c r="A140" s="10" t="s">
        <v>22</v>
      </c>
      <c r="B140" t="s">
        <v>124</v>
      </c>
      <c r="C140">
        <v>0.25</v>
      </c>
      <c r="D140" t="s">
        <v>286</v>
      </c>
      <c r="F140" s="12"/>
      <c r="G140" s="12"/>
    </row>
    <row r="141" spans="1:7" x14ac:dyDescent="0.25">
      <c r="A141" s="10" t="s">
        <v>22</v>
      </c>
      <c r="B141" t="s">
        <v>45</v>
      </c>
      <c r="C141">
        <v>0.25</v>
      </c>
      <c r="D141" t="s">
        <v>215</v>
      </c>
      <c r="F141" s="12"/>
      <c r="G141" s="12"/>
    </row>
    <row r="142" spans="1:7" x14ac:dyDescent="0.25">
      <c r="A142" s="10" t="s">
        <v>22</v>
      </c>
      <c r="B142" t="s">
        <v>112</v>
      </c>
      <c r="C142">
        <v>0.5</v>
      </c>
      <c r="D142" t="s">
        <v>226</v>
      </c>
      <c r="F142" s="12"/>
      <c r="G142" s="12"/>
    </row>
    <row r="143" spans="1:7" x14ac:dyDescent="0.25">
      <c r="A143" s="10" t="s">
        <v>22</v>
      </c>
      <c r="B143" t="s">
        <v>83</v>
      </c>
      <c r="C143">
        <v>0.5</v>
      </c>
      <c r="D143" t="s">
        <v>287</v>
      </c>
      <c r="F143" s="12"/>
      <c r="G143" s="12"/>
    </row>
    <row r="144" spans="1:7" x14ac:dyDescent="0.25">
      <c r="A144" s="10" t="s">
        <v>22</v>
      </c>
      <c r="B144" t="s">
        <v>110</v>
      </c>
      <c r="C144">
        <v>0.5</v>
      </c>
      <c r="D144" t="s">
        <v>250</v>
      </c>
      <c r="F144" s="12"/>
      <c r="G144" s="12"/>
    </row>
    <row r="145" spans="1:7" x14ac:dyDescent="0.25">
      <c r="A145" s="10" t="s">
        <v>22</v>
      </c>
      <c r="B145" t="s">
        <v>49</v>
      </c>
      <c r="C145">
        <v>1</v>
      </c>
      <c r="D145" t="s">
        <v>288</v>
      </c>
      <c r="F145" s="13"/>
      <c r="G145" s="13"/>
    </row>
    <row r="146" spans="1:7" x14ac:dyDescent="0.25">
      <c r="A146" s="10" t="s">
        <v>22</v>
      </c>
      <c r="B146" t="s">
        <v>51</v>
      </c>
      <c r="C146">
        <v>1</v>
      </c>
      <c r="D146" t="s">
        <v>288</v>
      </c>
      <c r="F146" s="14"/>
      <c r="G146" s="14"/>
    </row>
    <row r="147" spans="1:7" x14ac:dyDescent="0.25">
      <c r="A147" s="10" t="s">
        <v>22</v>
      </c>
      <c r="B147" t="s">
        <v>47</v>
      </c>
      <c r="C147">
        <v>1</v>
      </c>
      <c r="D147" t="s">
        <v>288</v>
      </c>
    </row>
    <row r="148" spans="1:7" x14ac:dyDescent="0.25">
      <c r="A148" s="10" t="s">
        <v>22</v>
      </c>
      <c r="B148" t="s">
        <v>94</v>
      </c>
      <c r="C148">
        <v>1</v>
      </c>
      <c r="D148" t="s">
        <v>218</v>
      </c>
    </row>
    <row r="150" spans="1:7" x14ac:dyDescent="0.25">
      <c r="A150" s="1" t="s">
        <v>54</v>
      </c>
      <c r="B150" t="s">
        <v>181</v>
      </c>
      <c r="C150">
        <f>300/4</f>
        <v>75</v>
      </c>
      <c r="D150" t="s">
        <v>208</v>
      </c>
      <c r="E150" t="s">
        <v>231</v>
      </c>
      <c r="F150" s="8"/>
      <c r="G150" s="2"/>
    </row>
    <row r="151" spans="1:7" x14ac:dyDescent="0.25">
      <c r="A151" s="10" t="s">
        <v>54</v>
      </c>
      <c r="B151" t="s">
        <v>58</v>
      </c>
      <c r="C151">
        <f>6/4</f>
        <v>1.5</v>
      </c>
      <c r="D151" t="s">
        <v>215</v>
      </c>
      <c r="F151" s="12"/>
      <c r="G151" s="2"/>
    </row>
    <row r="152" spans="1:7" ht="14.45" customHeight="1" x14ac:dyDescent="0.25">
      <c r="A152" s="10" t="s">
        <v>54</v>
      </c>
      <c r="B152" t="s">
        <v>45</v>
      </c>
      <c r="C152">
        <v>1</v>
      </c>
      <c r="D152" t="s">
        <v>215</v>
      </c>
      <c r="F152" s="9"/>
      <c r="G152" s="9"/>
    </row>
    <row r="153" spans="1:7" x14ac:dyDescent="0.25">
      <c r="A153" s="10" t="s">
        <v>54</v>
      </c>
      <c r="B153" t="s">
        <v>289</v>
      </c>
      <c r="C153">
        <f>600/4</f>
        <v>150</v>
      </c>
      <c r="D153" t="s">
        <v>208</v>
      </c>
      <c r="F153" s="12"/>
      <c r="G153" s="2"/>
    </row>
    <row r="154" spans="1:7" x14ac:dyDescent="0.25">
      <c r="A154" s="10" t="s">
        <v>54</v>
      </c>
      <c r="B154" t="s">
        <v>8</v>
      </c>
      <c r="C154">
        <f>200/4</f>
        <v>50</v>
      </c>
      <c r="D154" t="s">
        <v>208</v>
      </c>
      <c r="F154" s="12"/>
      <c r="G154" s="2"/>
    </row>
    <row r="155" spans="1:7" x14ac:dyDescent="0.25">
      <c r="A155" s="10" t="s">
        <v>54</v>
      </c>
      <c r="B155" t="s">
        <v>195</v>
      </c>
      <c r="C155">
        <f>2/4</f>
        <v>0.5</v>
      </c>
      <c r="D155" t="s">
        <v>213</v>
      </c>
      <c r="F155" s="12"/>
      <c r="G155" s="2"/>
    </row>
    <row r="156" spans="1:7" x14ac:dyDescent="0.25">
      <c r="A156" s="10" t="s">
        <v>54</v>
      </c>
      <c r="B156" t="s">
        <v>273</v>
      </c>
      <c r="C156">
        <f>200/4</f>
        <v>50</v>
      </c>
      <c r="D156" t="s">
        <v>230</v>
      </c>
      <c r="F156" s="12"/>
      <c r="G156" s="2"/>
    </row>
    <row r="157" spans="1:7" x14ac:dyDescent="0.25">
      <c r="A157" s="10" t="s">
        <v>54</v>
      </c>
      <c r="B157" t="s">
        <v>290</v>
      </c>
      <c r="C157">
        <f>200/4</f>
        <v>50</v>
      </c>
      <c r="D157" t="s">
        <v>230</v>
      </c>
      <c r="F157" s="12"/>
      <c r="G157" s="2"/>
    </row>
    <row r="158" spans="1:7" ht="14.45" customHeight="1" x14ac:dyDescent="0.25">
      <c r="A158" s="10" t="s">
        <v>54</v>
      </c>
      <c r="B158" t="s">
        <v>291</v>
      </c>
      <c r="C158">
        <f>3/4</f>
        <v>0.75</v>
      </c>
      <c r="D158" t="s">
        <v>215</v>
      </c>
      <c r="F158" s="9"/>
      <c r="G158" s="9"/>
    </row>
    <row r="159" spans="1:7" x14ac:dyDescent="0.25">
      <c r="A159" s="10" t="s">
        <v>54</v>
      </c>
      <c r="B159" t="s">
        <v>112</v>
      </c>
      <c r="C159">
        <v>1</v>
      </c>
      <c r="D159" t="s">
        <v>226</v>
      </c>
      <c r="F159" s="12"/>
      <c r="G159" s="2"/>
    </row>
    <row r="160" spans="1:7" x14ac:dyDescent="0.25">
      <c r="A160" s="10" t="s">
        <v>54</v>
      </c>
      <c r="B160" t="s">
        <v>254</v>
      </c>
      <c r="C160">
        <f>50/4</f>
        <v>12.5</v>
      </c>
      <c r="D160" t="s">
        <v>230</v>
      </c>
      <c r="F160" s="12"/>
      <c r="G160" s="2"/>
    </row>
    <row r="161" spans="1:7" x14ac:dyDescent="0.25">
      <c r="A161" s="10" t="s">
        <v>54</v>
      </c>
      <c r="B161" t="s">
        <v>195</v>
      </c>
      <c r="C161">
        <f>5/4</f>
        <v>1.25</v>
      </c>
      <c r="D161" t="s">
        <v>213</v>
      </c>
      <c r="F161" s="12"/>
      <c r="G161" s="2"/>
    </row>
    <row r="162" spans="1:7" x14ac:dyDescent="0.25">
      <c r="A162" s="10" t="s">
        <v>54</v>
      </c>
      <c r="B162" t="s">
        <v>292</v>
      </c>
      <c r="C162">
        <v>1</v>
      </c>
      <c r="D162" t="s">
        <v>218</v>
      </c>
      <c r="F162" s="12"/>
      <c r="G162" s="2"/>
    </row>
    <row r="163" spans="1:7" x14ac:dyDescent="0.25">
      <c r="F163" s="6"/>
      <c r="G163" s="2"/>
    </row>
    <row r="164" spans="1:7" x14ac:dyDescent="0.25">
      <c r="A164" s="1" t="s">
        <v>57</v>
      </c>
      <c r="B164" t="s">
        <v>293</v>
      </c>
      <c r="C164">
        <v>3.5</v>
      </c>
      <c r="D164" s="2" t="s">
        <v>208</v>
      </c>
      <c r="E164" t="s">
        <v>262</v>
      </c>
      <c r="F164" s="2"/>
      <c r="G164" s="2"/>
    </row>
    <row r="165" spans="1:7" x14ac:dyDescent="0.25">
      <c r="A165" s="10" t="s">
        <v>57</v>
      </c>
      <c r="B165" t="s">
        <v>112</v>
      </c>
      <c r="C165">
        <v>0.5</v>
      </c>
      <c r="D165" s="2" t="s">
        <v>226</v>
      </c>
      <c r="F165" s="2"/>
      <c r="G165" s="2"/>
    </row>
    <row r="166" spans="1:7" x14ac:dyDescent="0.25">
      <c r="A166" s="10" t="s">
        <v>57</v>
      </c>
      <c r="B166" t="s">
        <v>118</v>
      </c>
      <c r="C166">
        <v>1</v>
      </c>
      <c r="D166" t="s">
        <v>213</v>
      </c>
      <c r="F166" s="2"/>
    </row>
    <row r="167" spans="1:7" x14ac:dyDescent="0.25">
      <c r="A167" s="10" t="s">
        <v>57</v>
      </c>
      <c r="B167" t="s">
        <v>294</v>
      </c>
      <c r="C167">
        <v>2</v>
      </c>
      <c r="D167" t="s">
        <v>295</v>
      </c>
      <c r="F167" s="2"/>
    </row>
    <row r="168" spans="1:7" x14ac:dyDescent="0.25">
      <c r="A168" s="10" t="s">
        <v>57</v>
      </c>
      <c r="B168" t="s">
        <v>38</v>
      </c>
      <c r="C168">
        <v>0.375</v>
      </c>
      <c r="D168" t="s">
        <v>215</v>
      </c>
      <c r="F168" s="2"/>
    </row>
    <row r="169" spans="1:7" x14ac:dyDescent="0.25">
      <c r="A169" s="10" t="s">
        <v>57</v>
      </c>
      <c r="B169" t="s">
        <v>182</v>
      </c>
      <c r="C169">
        <v>0.125</v>
      </c>
      <c r="D169" t="s">
        <v>215</v>
      </c>
      <c r="F169" s="2"/>
    </row>
    <row r="170" spans="1:7" x14ac:dyDescent="0.25">
      <c r="A170" s="10" t="s">
        <v>57</v>
      </c>
      <c r="B170" t="s">
        <v>163</v>
      </c>
      <c r="C170">
        <v>0.25</v>
      </c>
      <c r="D170" t="s">
        <v>215</v>
      </c>
      <c r="F170" s="2"/>
    </row>
    <row r="171" spans="1:7" x14ac:dyDescent="0.25">
      <c r="A171" s="10" t="s">
        <v>57</v>
      </c>
      <c r="B171" t="s">
        <v>296</v>
      </c>
      <c r="C171">
        <v>125</v>
      </c>
      <c r="D171" t="s">
        <v>208</v>
      </c>
      <c r="F171" s="2"/>
    </row>
    <row r="172" spans="1:7" x14ac:dyDescent="0.25">
      <c r="A172" s="10" t="s">
        <v>57</v>
      </c>
      <c r="B172" t="s">
        <v>297</v>
      </c>
      <c r="C172">
        <v>0.5</v>
      </c>
      <c r="D172" t="s">
        <v>213</v>
      </c>
      <c r="F172" s="2"/>
    </row>
    <row r="173" spans="1:7" x14ac:dyDescent="0.25">
      <c r="A173" s="10" t="s">
        <v>57</v>
      </c>
      <c r="B173" t="s">
        <v>28</v>
      </c>
      <c r="C173">
        <v>5</v>
      </c>
      <c r="D173" t="s">
        <v>215</v>
      </c>
      <c r="F173" s="2"/>
    </row>
    <row r="174" spans="1:7" x14ac:dyDescent="0.25">
      <c r="F174" s="8"/>
    </row>
    <row r="175" spans="1:7" x14ac:dyDescent="0.25">
      <c r="A175" s="1" t="s">
        <v>64</v>
      </c>
      <c r="B175" t="s">
        <v>168</v>
      </c>
      <c r="C175">
        <v>300</v>
      </c>
      <c r="D175" t="s">
        <v>208</v>
      </c>
      <c r="E175" t="s">
        <v>298</v>
      </c>
      <c r="F175" s="12"/>
    </row>
    <row r="176" spans="1:7" x14ac:dyDescent="0.25">
      <c r="A176" s="10" t="s">
        <v>64</v>
      </c>
      <c r="B176" t="s">
        <v>45</v>
      </c>
      <c r="C176">
        <v>0.5</v>
      </c>
      <c r="D176" t="s">
        <v>215</v>
      </c>
      <c r="F176" s="12"/>
    </row>
    <row r="177" spans="1:14" x14ac:dyDescent="0.25">
      <c r="A177" s="10" t="s">
        <v>64</v>
      </c>
      <c r="B177" t="s">
        <v>112</v>
      </c>
      <c r="C177">
        <v>0.5</v>
      </c>
      <c r="D177" t="s">
        <v>226</v>
      </c>
      <c r="F177" s="12"/>
    </row>
    <row r="178" spans="1:14" x14ac:dyDescent="0.25">
      <c r="A178" s="10" t="s">
        <v>64</v>
      </c>
      <c r="B178" t="s">
        <v>299</v>
      </c>
      <c r="C178">
        <v>0.5</v>
      </c>
      <c r="D178" t="s">
        <v>218</v>
      </c>
      <c r="F178" s="12"/>
      <c r="N178" t="s">
        <v>300</v>
      </c>
    </row>
    <row r="179" spans="1:14" x14ac:dyDescent="0.25">
      <c r="A179" s="10" t="s">
        <v>64</v>
      </c>
      <c r="B179" t="s">
        <v>301</v>
      </c>
      <c r="C179">
        <v>100</v>
      </c>
      <c r="D179" t="s">
        <v>230</v>
      </c>
      <c r="F179" s="12"/>
    </row>
    <row r="180" spans="1:14" x14ac:dyDescent="0.25">
      <c r="A180" s="10" t="s">
        <v>64</v>
      </c>
      <c r="B180" t="s">
        <v>302</v>
      </c>
      <c r="C180">
        <v>1</v>
      </c>
      <c r="D180" t="s">
        <v>213</v>
      </c>
      <c r="F180" s="12"/>
    </row>
    <row r="181" spans="1:14" x14ac:dyDescent="0.25">
      <c r="A181" s="10" t="s">
        <v>64</v>
      </c>
      <c r="B181" t="s">
        <v>118</v>
      </c>
      <c r="C181">
        <v>1</v>
      </c>
      <c r="D181" t="s">
        <v>213</v>
      </c>
      <c r="F181" s="12"/>
    </row>
    <row r="182" spans="1:14" x14ac:dyDescent="0.25">
      <c r="A182" s="10" t="s">
        <v>64</v>
      </c>
      <c r="B182" t="s">
        <v>303</v>
      </c>
      <c r="C182">
        <v>0.5</v>
      </c>
      <c r="D182" t="s">
        <v>215</v>
      </c>
      <c r="F182" s="12"/>
    </row>
    <row r="183" spans="1:14" x14ac:dyDescent="0.25">
      <c r="F183" s="8"/>
    </row>
    <row r="184" spans="1:14" x14ac:dyDescent="0.25">
      <c r="A184" s="1" t="s">
        <v>66</v>
      </c>
      <c r="B184" t="s">
        <v>38</v>
      </c>
      <c r="C184">
        <v>1</v>
      </c>
      <c r="D184" t="s">
        <v>215</v>
      </c>
      <c r="F184" s="12"/>
    </row>
    <row r="185" spans="1:14" x14ac:dyDescent="0.25">
      <c r="A185" s="10" t="s">
        <v>66</v>
      </c>
      <c r="B185" t="s">
        <v>181</v>
      </c>
      <c r="C185">
        <v>0.25</v>
      </c>
      <c r="D185" t="s">
        <v>286</v>
      </c>
      <c r="F185" s="12"/>
    </row>
    <row r="186" spans="1:14" x14ac:dyDescent="0.25">
      <c r="A186" s="10" t="s">
        <v>66</v>
      </c>
      <c r="B186" t="s">
        <v>8</v>
      </c>
      <c r="C186">
        <v>75</v>
      </c>
      <c r="D186" t="s">
        <v>208</v>
      </c>
      <c r="F186" s="12"/>
    </row>
    <row r="187" spans="1:14" x14ac:dyDescent="0.25">
      <c r="A187" s="10" t="s">
        <v>66</v>
      </c>
      <c r="B187" t="s">
        <v>304</v>
      </c>
      <c r="C187">
        <v>0.25</v>
      </c>
      <c r="D187" t="s">
        <v>213</v>
      </c>
      <c r="F187" s="12"/>
    </row>
    <row r="188" spans="1:14" x14ac:dyDescent="0.25">
      <c r="A188" s="10" t="s">
        <v>66</v>
      </c>
      <c r="B188" t="s">
        <v>186</v>
      </c>
      <c r="C188">
        <v>50</v>
      </c>
      <c r="D188" t="s">
        <v>208</v>
      </c>
      <c r="F188" s="12"/>
    </row>
    <row r="189" spans="1:14" x14ac:dyDescent="0.25">
      <c r="A189" s="10" t="s">
        <v>66</v>
      </c>
      <c r="B189" t="s">
        <v>71</v>
      </c>
      <c r="C189">
        <v>50</v>
      </c>
      <c r="D189" t="s">
        <v>208</v>
      </c>
      <c r="F189" s="12"/>
    </row>
    <row r="190" spans="1:14" x14ac:dyDescent="0.25">
      <c r="A190" s="10" t="s">
        <v>66</v>
      </c>
      <c r="B190" t="s">
        <v>278</v>
      </c>
      <c r="C190">
        <v>10</v>
      </c>
      <c r="D190" t="s">
        <v>208</v>
      </c>
      <c r="F190" s="12"/>
    </row>
    <row r="191" spans="1:14" x14ac:dyDescent="0.25">
      <c r="A191" s="10" t="s">
        <v>66</v>
      </c>
      <c r="B191" t="s">
        <v>305</v>
      </c>
      <c r="C191">
        <v>25</v>
      </c>
      <c r="D191" t="s">
        <v>208</v>
      </c>
      <c r="F191" s="12"/>
    </row>
    <row r="193" spans="1:6" x14ac:dyDescent="0.25">
      <c r="A193" s="1" t="s">
        <v>68</v>
      </c>
      <c r="B193" t="s">
        <v>38</v>
      </c>
      <c r="C193">
        <v>1.25</v>
      </c>
      <c r="D193" t="s">
        <v>215</v>
      </c>
      <c r="E193" t="s">
        <v>231</v>
      </c>
      <c r="F193" s="12"/>
    </row>
    <row r="194" spans="1:6" x14ac:dyDescent="0.25">
      <c r="A194" s="10" t="s">
        <v>68</v>
      </c>
      <c r="B194" t="s">
        <v>306</v>
      </c>
      <c r="C194">
        <v>62.5</v>
      </c>
      <c r="D194" t="s">
        <v>208</v>
      </c>
      <c r="F194" s="12"/>
    </row>
    <row r="195" spans="1:6" x14ac:dyDescent="0.25">
      <c r="A195" s="10" t="s">
        <v>68</v>
      </c>
      <c r="B195" t="s">
        <v>45</v>
      </c>
      <c r="C195">
        <v>0.25</v>
      </c>
      <c r="D195" t="s">
        <v>215</v>
      </c>
      <c r="F195" s="12"/>
    </row>
    <row r="196" spans="1:6" x14ac:dyDescent="0.25">
      <c r="A196" s="10" t="s">
        <v>68</v>
      </c>
      <c r="B196" t="s">
        <v>307</v>
      </c>
      <c r="C196">
        <v>0.25</v>
      </c>
      <c r="D196" t="s">
        <v>215</v>
      </c>
      <c r="F196" s="12"/>
    </row>
    <row r="197" spans="1:6" x14ac:dyDescent="0.25">
      <c r="A197" s="10" t="s">
        <v>68</v>
      </c>
      <c r="B197" t="s">
        <v>308</v>
      </c>
      <c r="C197">
        <v>15</v>
      </c>
      <c r="D197" t="s">
        <v>208</v>
      </c>
      <c r="F197" s="12"/>
    </row>
    <row r="198" spans="1:6" x14ac:dyDescent="0.25">
      <c r="A198" s="10" t="s">
        <v>68</v>
      </c>
      <c r="B198" t="s">
        <v>309</v>
      </c>
      <c r="C198">
        <v>0.25</v>
      </c>
      <c r="D198" t="s">
        <v>213</v>
      </c>
      <c r="F198" s="12"/>
    </row>
    <row r="199" spans="1:6" x14ac:dyDescent="0.25">
      <c r="A199" s="10" t="s">
        <v>68</v>
      </c>
      <c r="B199" t="s">
        <v>36</v>
      </c>
      <c r="C199">
        <v>0.25</v>
      </c>
      <c r="D199" t="s">
        <v>215</v>
      </c>
      <c r="F199" s="12"/>
    </row>
    <row r="200" spans="1:6" x14ac:dyDescent="0.25">
      <c r="A200" s="10" t="s">
        <v>68</v>
      </c>
      <c r="B200" t="s">
        <v>310</v>
      </c>
      <c r="C200">
        <v>37.5</v>
      </c>
      <c r="D200" t="s">
        <v>208</v>
      </c>
      <c r="F200" s="12"/>
    </row>
    <row r="201" spans="1:6" x14ac:dyDescent="0.25">
      <c r="A201" s="10" t="s">
        <v>68</v>
      </c>
      <c r="B201" t="s">
        <v>237</v>
      </c>
      <c r="C201">
        <v>0.25</v>
      </c>
      <c r="D201" t="s">
        <v>213</v>
      </c>
      <c r="F201" s="12"/>
    </row>
    <row r="202" spans="1:6" x14ac:dyDescent="0.25">
      <c r="A202" s="10" t="s">
        <v>68</v>
      </c>
      <c r="B202" t="s">
        <v>96</v>
      </c>
      <c r="C202">
        <v>0.5</v>
      </c>
      <c r="D202" t="s">
        <v>311</v>
      </c>
      <c r="F202" s="12"/>
    </row>
    <row r="203" spans="1:6" x14ac:dyDescent="0.25">
      <c r="A203" s="10" t="s">
        <v>68</v>
      </c>
      <c r="B203" t="s">
        <v>118</v>
      </c>
      <c r="C203">
        <v>2</v>
      </c>
      <c r="D203" t="s">
        <v>213</v>
      </c>
      <c r="F203" s="12"/>
    </row>
    <row r="205" spans="1:6" x14ac:dyDescent="0.25">
      <c r="A205" s="1" t="s">
        <v>134</v>
      </c>
      <c r="B205" t="s">
        <v>181</v>
      </c>
      <c r="C205">
        <v>125</v>
      </c>
      <c r="D205" t="s">
        <v>208</v>
      </c>
    </row>
    <row r="206" spans="1:6" x14ac:dyDescent="0.25">
      <c r="A206" s="10" t="s">
        <v>134</v>
      </c>
      <c r="B206" t="s">
        <v>312</v>
      </c>
      <c r="C206">
        <v>75</v>
      </c>
      <c r="D206" t="s">
        <v>208</v>
      </c>
    </row>
    <row r="207" spans="1:6" x14ac:dyDescent="0.25">
      <c r="A207" s="10" t="s">
        <v>134</v>
      </c>
      <c r="B207" t="s">
        <v>163</v>
      </c>
      <c r="C207">
        <v>100</v>
      </c>
      <c r="D207" t="s">
        <v>208</v>
      </c>
    </row>
    <row r="208" spans="1:6" x14ac:dyDescent="0.25">
      <c r="A208" s="10" t="s">
        <v>134</v>
      </c>
      <c r="B208" t="s">
        <v>313</v>
      </c>
      <c r="C208">
        <v>50</v>
      </c>
      <c r="D208" t="s">
        <v>208</v>
      </c>
    </row>
    <row r="209" spans="1:4" x14ac:dyDescent="0.25">
      <c r="A209" s="10" t="s">
        <v>134</v>
      </c>
      <c r="B209" t="s">
        <v>314</v>
      </c>
      <c r="C209">
        <v>70</v>
      </c>
      <c r="D209" t="s">
        <v>208</v>
      </c>
    </row>
    <row r="210" spans="1:4" x14ac:dyDescent="0.25">
      <c r="A210" s="10" t="s">
        <v>134</v>
      </c>
      <c r="B210" t="s">
        <v>315</v>
      </c>
      <c r="C210">
        <v>1</v>
      </c>
      <c r="D210" t="s">
        <v>213</v>
      </c>
    </row>
    <row r="211" spans="1:4" x14ac:dyDescent="0.25">
      <c r="A211" s="10" t="s">
        <v>134</v>
      </c>
      <c r="B211" t="s">
        <v>316</v>
      </c>
      <c r="C211">
        <v>1</v>
      </c>
      <c r="D211" t="s">
        <v>218</v>
      </c>
    </row>
    <row r="212" spans="1:4" x14ac:dyDescent="0.25">
      <c r="A212" s="10" t="s">
        <v>134</v>
      </c>
      <c r="B212" t="s">
        <v>220</v>
      </c>
      <c r="C212">
        <v>3</v>
      </c>
      <c r="D212" t="s">
        <v>213</v>
      </c>
    </row>
    <row r="213" spans="1:4" x14ac:dyDescent="0.25">
      <c r="A213" s="10" t="s">
        <v>134</v>
      </c>
      <c r="B213" t="s">
        <v>112</v>
      </c>
      <c r="C213">
        <v>0.5</v>
      </c>
      <c r="D213" t="s">
        <v>226</v>
      </c>
    </row>
    <row r="214" spans="1:4" x14ac:dyDescent="0.25">
      <c r="A214" s="10" t="s">
        <v>134</v>
      </c>
      <c r="B214" t="s">
        <v>317</v>
      </c>
      <c r="C214">
        <v>1</v>
      </c>
      <c r="D214" t="s">
        <v>218</v>
      </c>
    </row>
    <row r="215" spans="1:4" x14ac:dyDescent="0.25">
      <c r="A215" s="10" t="s">
        <v>134</v>
      </c>
      <c r="B215" t="s">
        <v>193</v>
      </c>
      <c r="C215">
        <v>1</v>
      </c>
      <c r="D215" t="s">
        <v>218</v>
      </c>
    </row>
    <row r="216" spans="1:4" x14ac:dyDescent="0.25">
      <c r="A216" s="10" t="s">
        <v>134</v>
      </c>
      <c r="B216" t="s">
        <v>318</v>
      </c>
      <c r="C216">
        <v>1</v>
      </c>
      <c r="D216" t="s">
        <v>218</v>
      </c>
    </row>
    <row r="217" spans="1:4" x14ac:dyDescent="0.25">
      <c r="A217" s="10" t="s">
        <v>134</v>
      </c>
      <c r="B217" t="s">
        <v>319</v>
      </c>
      <c r="C217">
        <v>2</v>
      </c>
      <c r="D217" t="s">
        <v>213</v>
      </c>
    </row>
    <row r="218" spans="1:4" x14ac:dyDescent="0.25">
      <c r="A218" s="10" t="s">
        <v>134</v>
      </c>
      <c r="B218" t="s">
        <v>320</v>
      </c>
      <c r="C218">
        <v>1</v>
      </c>
      <c r="D218" t="s">
        <v>218</v>
      </c>
    </row>
    <row r="219" spans="1:4" x14ac:dyDescent="0.25">
      <c r="A219" s="10" t="s">
        <v>134</v>
      </c>
      <c r="B219" t="s">
        <v>321</v>
      </c>
      <c r="C219">
        <v>0.5</v>
      </c>
      <c r="D219" t="s">
        <v>218</v>
      </c>
    </row>
    <row r="221" spans="1:4" x14ac:dyDescent="0.25">
      <c r="A221" s="1" t="s">
        <v>154</v>
      </c>
      <c r="B221" t="s">
        <v>247</v>
      </c>
      <c r="C221">
        <v>100</v>
      </c>
      <c r="D221" t="s">
        <v>208</v>
      </c>
    </row>
    <row r="222" spans="1:4" x14ac:dyDescent="0.25">
      <c r="A222" s="10" t="s">
        <v>154</v>
      </c>
      <c r="B222" t="s">
        <v>38</v>
      </c>
      <c r="C222">
        <v>0.5</v>
      </c>
      <c r="D222" t="s">
        <v>215</v>
      </c>
    </row>
    <row r="223" spans="1:4" x14ac:dyDescent="0.25">
      <c r="A223" s="10" t="s">
        <v>154</v>
      </c>
      <c r="B223" t="s">
        <v>13</v>
      </c>
      <c r="C223">
        <v>100</v>
      </c>
      <c r="D223" t="s">
        <v>208</v>
      </c>
    </row>
    <row r="224" spans="1:4" x14ac:dyDescent="0.25">
      <c r="A224" s="10" t="s">
        <v>154</v>
      </c>
      <c r="B224" t="s">
        <v>322</v>
      </c>
      <c r="C224">
        <v>3</v>
      </c>
      <c r="D224" t="s">
        <v>215</v>
      </c>
    </row>
    <row r="225" spans="1:4" x14ac:dyDescent="0.25">
      <c r="A225" s="10" t="s">
        <v>154</v>
      </c>
      <c r="B225" t="s">
        <v>323</v>
      </c>
      <c r="C225">
        <v>0.75</v>
      </c>
      <c r="D225" t="s">
        <v>213</v>
      </c>
    </row>
    <row r="226" spans="1:4" x14ac:dyDescent="0.25">
      <c r="A226" s="10" t="s">
        <v>154</v>
      </c>
      <c r="B226" t="s">
        <v>118</v>
      </c>
      <c r="C226">
        <v>0.5</v>
      </c>
      <c r="D226" t="s">
        <v>213</v>
      </c>
    </row>
    <row r="228" spans="1:4" x14ac:dyDescent="0.25">
      <c r="A228" s="1" t="s">
        <v>119</v>
      </c>
      <c r="B228" t="s">
        <v>243</v>
      </c>
      <c r="C228">
        <v>100</v>
      </c>
      <c r="D228" t="s">
        <v>208</v>
      </c>
    </row>
    <row r="229" spans="1:4" x14ac:dyDescent="0.25">
      <c r="A229" s="10" t="s">
        <v>119</v>
      </c>
      <c r="B229" t="s">
        <v>58</v>
      </c>
      <c r="C229">
        <v>1</v>
      </c>
      <c r="D229" t="s">
        <v>215</v>
      </c>
    </row>
    <row r="230" spans="1:4" x14ac:dyDescent="0.25">
      <c r="A230" s="10" t="s">
        <v>119</v>
      </c>
      <c r="B230" t="s">
        <v>261</v>
      </c>
      <c r="C230">
        <v>150</v>
      </c>
      <c r="D230" t="s">
        <v>230</v>
      </c>
    </row>
    <row r="231" spans="1:4" x14ac:dyDescent="0.25">
      <c r="A231" s="10" t="s">
        <v>119</v>
      </c>
      <c r="B231" t="s">
        <v>118</v>
      </c>
      <c r="C231">
        <v>2</v>
      </c>
      <c r="D231" t="s">
        <v>213</v>
      </c>
    </row>
    <row r="232" spans="1:4" x14ac:dyDescent="0.25">
      <c r="A232" s="10" t="s">
        <v>119</v>
      </c>
      <c r="B232" t="s">
        <v>324</v>
      </c>
      <c r="C232">
        <v>10</v>
      </c>
      <c r="D232" t="s">
        <v>230</v>
      </c>
    </row>
    <row r="233" spans="1:4" x14ac:dyDescent="0.25">
      <c r="A233" s="10" t="s">
        <v>119</v>
      </c>
      <c r="B233" t="s">
        <v>195</v>
      </c>
      <c r="C233">
        <v>5</v>
      </c>
      <c r="D233" t="s">
        <v>213</v>
      </c>
    </row>
    <row r="234" spans="1:4" x14ac:dyDescent="0.25">
      <c r="A234" s="10" t="s">
        <v>119</v>
      </c>
      <c r="B234" t="s">
        <v>325</v>
      </c>
      <c r="C234">
        <v>1</v>
      </c>
      <c r="D234" t="s">
        <v>218</v>
      </c>
    </row>
    <row r="236" spans="1:4" x14ac:dyDescent="0.25">
      <c r="A236" s="1" t="s">
        <v>9</v>
      </c>
      <c r="B236" t="s">
        <v>171</v>
      </c>
      <c r="C236">
        <v>200</v>
      </c>
      <c r="D236" t="s">
        <v>208</v>
      </c>
    </row>
    <row r="237" spans="1:4" x14ac:dyDescent="0.25">
      <c r="A237" s="10" t="s">
        <v>9</v>
      </c>
      <c r="B237" t="s">
        <v>161</v>
      </c>
      <c r="C237">
        <v>200</v>
      </c>
      <c r="D237" t="s">
        <v>208</v>
      </c>
    </row>
    <row r="238" spans="1:4" x14ac:dyDescent="0.25">
      <c r="A238" s="10" t="s">
        <v>9</v>
      </c>
      <c r="B238" t="s">
        <v>170</v>
      </c>
      <c r="C238">
        <v>1</v>
      </c>
      <c r="D238" t="s">
        <v>215</v>
      </c>
    </row>
    <row r="240" spans="1:4" x14ac:dyDescent="0.25">
      <c r="A240" s="1" t="s">
        <v>123</v>
      </c>
      <c r="B240" t="s">
        <v>80</v>
      </c>
      <c r="C240">
        <v>0.5</v>
      </c>
      <c r="D240" t="s">
        <v>215</v>
      </c>
    </row>
    <row r="241" spans="1:4" x14ac:dyDescent="0.25">
      <c r="A241" s="10" t="s">
        <v>123</v>
      </c>
      <c r="B241" t="s">
        <v>118</v>
      </c>
      <c r="C241">
        <v>1.5</v>
      </c>
      <c r="D241" t="s">
        <v>213</v>
      </c>
    </row>
    <row r="242" spans="1:4" x14ac:dyDescent="0.25">
      <c r="A242" s="10" t="s">
        <v>123</v>
      </c>
      <c r="B242" t="s">
        <v>112</v>
      </c>
      <c r="C242">
        <v>1</v>
      </c>
      <c r="D242" t="s">
        <v>226</v>
      </c>
    </row>
    <row r="243" spans="1:4" x14ac:dyDescent="0.25">
      <c r="A243" s="10" t="s">
        <v>123</v>
      </c>
      <c r="B243" t="s">
        <v>235</v>
      </c>
      <c r="C243">
        <v>65</v>
      </c>
      <c r="D243" t="s">
        <v>208</v>
      </c>
    </row>
    <row r="244" spans="1:4" x14ac:dyDescent="0.25">
      <c r="A244" s="10" t="s">
        <v>123</v>
      </c>
      <c r="B244" t="s">
        <v>163</v>
      </c>
      <c r="C244">
        <v>0.5</v>
      </c>
      <c r="D244" t="s">
        <v>215</v>
      </c>
    </row>
    <row r="245" spans="1:4" x14ac:dyDescent="0.25">
      <c r="A245" s="10" t="s">
        <v>123</v>
      </c>
      <c r="B245" t="s">
        <v>182</v>
      </c>
      <c r="C245">
        <v>0.5</v>
      </c>
      <c r="D245" t="s">
        <v>215</v>
      </c>
    </row>
    <row r="246" spans="1:4" x14ac:dyDescent="0.25">
      <c r="A246" s="10" t="s">
        <v>123</v>
      </c>
      <c r="B246" t="s">
        <v>326</v>
      </c>
      <c r="C246">
        <v>55</v>
      </c>
      <c r="D246" t="s">
        <v>208</v>
      </c>
    </row>
    <row r="247" spans="1:4" x14ac:dyDescent="0.25">
      <c r="A247" s="10" t="s">
        <v>123</v>
      </c>
      <c r="B247" t="s">
        <v>217</v>
      </c>
      <c r="C247">
        <v>0.5</v>
      </c>
      <c r="D247" t="s">
        <v>213</v>
      </c>
    </row>
    <row r="248" spans="1:4" x14ac:dyDescent="0.25">
      <c r="A248" s="10" t="s">
        <v>123</v>
      </c>
      <c r="B248" t="s">
        <v>327</v>
      </c>
      <c r="C248">
        <v>35</v>
      </c>
      <c r="D248" t="s">
        <v>208</v>
      </c>
    </row>
    <row r="249" spans="1:4" x14ac:dyDescent="0.25">
      <c r="A249" s="10" t="s">
        <v>123</v>
      </c>
      <c r="B249" t="s">
        <v>328</v>
      </c>
      <c r="C249">
        <v>20</v>
      </c>
      <c r="D249" t="s">
        <v>208</v>
      </c>
    </row>
    <row r="251" spans="1:4" x14ac:dyDescent="0.25">
      <c r="A251" s="1" t="s">
        <v>56</v>
      </c>
      <c r="B251" t="s">
        <v>225</v>
      </c>
      <c r="C251">
        <v>100</v>
      </c>
      <c r="D251" t="s">
        <v>208</v>
      </c>
    </row>
    <row r="252" spans="1:4" x14ac:dyDescent="0.25">
      <c r="A252" s="10" t="s">
        <v>56</v>
      </c>
      <c r="B252" t="s">
        <v>329</v>
      </c>
      <c r="C252">
        <v>50</v>
      </c>
      <c r="D252" t="s">
        <v>208</v>
      </c>
    </row>
    <row r="253" spans="1:4" x14ac:dyDescent="0.25">
      <c r="A253" s="10" t="s">
        <v>56</v>
      </c>
      <c r="B253" t="s">
        <v>58</v>
      </c>
      <c r="C253">
        <v>1</v>
      </c>
      <c r="D253" t="s">
        <v>215</v>
      </c>
    </row>
    <row r="254" spans="1:4" x14ac:dyDescent="0.25">
      <c r="A254" s="10" t="s">
        <v>56</v>
      </c>
      <c r="B254" t="s">
        <v>186</v>
      </c>
      <c r="C254">
        <v>125</v>
      </c>
      <c r="D254" t="s">
        <v>208</v>
      </c>
    </row>
    <row r="255" spans="1:4" x14ac:dyDescent="0.25">
      <c r="A255" s="10" t="s">
        <v>56</v>
      </c>
      <c r="B255" t="s">
        <v>181</v>
      </c>
      <c r="C255">
        <v>75</v>
      </c>
      <c r="D255" t="s">
        <v>208</v>
      </c>
    </row>
    <row r="256" spans="1:4" x14ac:dyDescent="0.25">
      <c r="A256" s="10" t="s">
        <v>56</v>
      </c>
      <c r="B256" t="s">
        <v>315</v>
      </c>
      <c r="C256">
        <v>25</v>
      </c>
      <c r="D256" t="s">
        <v>208</v>
      </c>
    </row>
    <row r="258" spans="1:4" x14ac:dyDescent="0.25">
      <c r="A258" s="1" t="s">
        <v>126</v>
      </c>
      <c r="B258" t="s">
        <v>330</v>
      </c>
      <c r="C258">
        <v>100</v>
      </c>
      <c r="D258" t="s">
        <v>208</v>
      </c>
    </row>
    <row r="259" spans="1:4" x14ac:dyDescent="0.25">
      <c r="A259" s="10" t="s">
        <v>126</v>
      </c>
      <c r="B259" t="s">
        <v>42</v>
      </c>
      <c r="C259">
        <v>125</v>
      </c>
      <c r="D259" t="s">
        <v>208</v>
      </c>
    </row>
    <row r="260" spans="1:4" x14ac:dyDescent="0.25">
      <c r="A260" s="10" t="s">
        <v>126</v>
      </c>
      <c r="B260" t="s">
        <v>36</v>
      </c>
      <c r="C260">
        <v>0.25</v>
      </c>
      <c r="D260" t="s">
        <v>215</v>
      </c>
    </row>
    <row r="261" spans="1:4" x14ac:dyDescent="0.25">
      <c r="A261" s="10" t="s">
        <v>126</v>
      </c>
      <c r="B261" t="s">
        <v>331</v>
      </c>
      <c r="C261">
        <v>6</v>
      </c>
      <c r="D261" t="s">
        <v>208</v>
      </c>
    </row>
    <row r="262" spans="1:4" x14ac:dyDescent="0.25">
      <c r="A262" s="10" t="s">
        <v>126</v>
      </c>
      <c r="B262" t="s">
        <v>332</v>
      </c>
      <c r="C262">
        <v>62.5</v>
      </c>
      <c r="D262" t="s">
        <v>208</v>
      </c>
    </row>
    <row r="263" spans="1:4" x14ac:dyDescent="0.25">
      <c r="A263" s="10" t="s">
        <v>126</v>
      </c>
      <c r="B263" t="s">
        <v>58</v>
      </c>
      <c r="C263">
        <v>0.5</v>
      </c>
      <c r="D263" t="s">
        <v>215</v>
      </c>
    </row>
    <row r="264" spans="1:4" x14ac:dyDescent="0.25">
      <c r="A264" s="10" t="s">
        <v>126</v>
      </c>
      <c r="B264" t="s">
        <v>333</v>
      </c>
      <c r="C264">
        <v>20</v>
      </c>
      <c r="D264" t="s">
        <v>208</v>
      </c>
    </row>
    <row r="265" spans="1:4" x14ac:dyDescent="0.25">
      <c r="A265" s="10" t="s">
        <v>126</v>
      </c>
      <c r="B265" t="s">
        <v>96</v>
      </c>
      <c r="C265">
        <v>3.75</v>
      </c>
      <c r="D265" t="s">
        <v>208</v>
      </c>
    </row>
    <row r="266" spans="1:4" x14ac:dyDescent="0.25">
      <c r="A266" s="10" t="s">
        <v>126</v>
      </c>
      <c r="B266" t="s">
        <v>118</v>
      </c>
      <c r="C266">
        <v>0.75</v>
      </c>
      <c r="D266" t="s">
        <v>213</v>
      </c>
    </row>
    <row r="267" spans="1:4" x14ac:dyDescent="0.25">
      <c r="A267" s="10" t="s">
        <v>126</v>
      </c>
      <c r="B267" t="s">
        <v>334</v>
      </c>
      <c r="C267">
        <v>15</v>
      </c>
      <c r="D267" t="s">
        <v>208</v>
      </c>
    </row>
    <row r="269" spans="1:4" x14ac:dyDescent="0.25">
      <c r="A269" s="1" t="s">
        <v>60</v>
      </c>
      <c r="B269" t="s">
        <v>166</v>
      </c>
      <c r="C269">
        <v>1</v>
      </c>
      <c r="D269" t="s">
        <v>256</v>
      </c>
    </row>
    <row r="270" spans="1:4" x14ac:dyDescent="0.25">
      <c r="A270" s="10" t="s">
        <v>60</v>
      </c>
      <c r="B270" t="s">
        <v>45</v>
      </c>
      <c r="C270">
        <v>0.5</v>
      </c>
      <c r="D270" t="s">
        <v>215</v>
      </c>
    </row>
    <row r="271" spans="1:4" x14ac:dyDescent="0.25">
      <c r="A271" s="10" t="s">
        <v>60</v>
      </c>
      <c r="B271" t="s">
        <v>112</v>
      </c>
      <c r="C271">
        <v>0.5</v>
      </c>
      <c r="D271" t="s">
        <v>226</v>
      </c>
    </row>
    <row r="272" spans="1:4" x14ac:dyDescent="0.25">
      <c r="A272" s="10" t="s">
        <v>60</v>
      </c>
      <c r="B272" t="s">
        <v>117</v>
      </c>
      <c r="C272">
        <v>0.75</v>
      </c>
      <c r="D272" t="s">
        <v>213</v>
      </c>
    </row>
    <row r="273" spans="1:4" x14ac:dyDescent="0.25">
      <c r="A273" s="10" t="s">
        <v>60</v>
      </c>
      <c r="B273" t="s">
        <v>65</v>
      </c>
      <c r="C273">
        <v>125</v>
      </c>
      <c r="D273" t="s">
        <v>208</v>
      </c>
    </row>
    <row r="274" spans="1:4" x14ac:dyDescent="0.25">
      <c r="A274" s="10" t="s">
        <v>60</v>
      </c>
      <c r="B274" t="s">
        <v>332</v>
      </c>
      <c r="C274">
        <v>50</v>
      </c>
      <c r="D274" t="s">
        <v>208</v>
      </c>
    </row>
    <row r="275" spans="1:4" x14ac:dyDescent="0.25">
      <c r="A275" s="10" t="s">
        <v>60</v>
      </c>
      <c r="B275" t="s">
        <v>335</v>
      </c>
      <c r="C275">
        <v>50</v>
      </c>
      <c r="D275" t="s">
        <v>230</v>
      </c>
    </row>
    <row r="276" spans="1:4" x14ac:dyDescent="0.25">
      <c r="A276" s="10" t="s">
        <v>60</v>
      </c>
      <c r="B276" t="s">
        <v>163</v>
      </c>
      <c r="C276">
        <v>0.5</v>
      </c>
      <c r="D276" t="s">
        <v>215</v>
      </c>
    </row>
    <row r="278" spans="1:4" x14ac:dyDescent="0.25">
      <c r="A278" s="1" t="s">
        <v>74</v>
      </c>
      <c r="B278" t="s">
        <v>336</v>
      </c>
      <c r="C278">
        <v>100</v>
      </c>
      <c r="D278" t="s">
        <v>208</v>
      </c>
    </row>
    <row r="279" spans="1:4" x14ac:dyDescent="0.25">
      <c r="A279" s="10" t="s">
        <v>74</v>
      </c>
      <c r="B279" t="s">
        <v>337</v>
      </c>
      <c r="C279">
        <v>200</v>
      </c>
      <c r="D279" t="s">
        <v>208</v>
      </c>
    </row>
    <row r="280" spans="1:4" x14ac:dyDescent="0.25">
      <c r="A280" s="10" t="s">
        <v>74</v>
      </c>
      <c r="B280" t="s">
        <v>36</v>
      </c>
      <c r="C280">
        <v>0.25</v>
      </c>
      <c r="D280" t="s">
        <v>215</v>
      </c>
    </row>
    <row r="281" spans="1:4" x14ac:dyDescent="0.25">
      <c r="A281" s="10" t="s">
        <v>74</v>
      </c>
      <c r="B281" t="s">
        <v>182</v>
      </c>
      <c r="C281">
        <v>0.5</v>
      </c>
      <c r="D281" t="s">
        <v>215</v>
      </c>
    </row>
    <row r="282" spans="1:4" x14ac:dyDescent="0.25">
      <c r="A282" s="10" t="s">
        <v>74</v>
      </c>
      <c r="B282" t="s">
        <v>38</v>
      </c>
      <c r="C282">
        <v>0.5</v>
      </c>
      <c r="D282" t="s">
        <v>215</v>
      </c>
    </row>
    <row r="283" spans="1:4" x14ac:dyDescent="0.25">
      <c r="A283" s="10" t="s">
        <v>74</v>
      </c>
      <c r="B283" t="s">
        <v>28</v>
      </c>
      <c r="C283">
        <v>75</v>
      </c>
      <c r="D283" t="s">
        <v>208</v>
      </c>
    </row>
    <row r="284" spans="1:4" x14ac:dyDescent="0.25">
      <c r="A284" s="10" t="s">
        <v>74</v>
      </c>
      <c r="B284" t="s">
        <v>310</v>
      </c>
      <c r="C284">
        <v>20</v>
      </c>
      <c r="D284" t="s">
        <v>208</v>
      </c>
    </row>
    <row r="285" spans="1:4" x14ac:dyDescent="0.25">
      <c r="A285" s="10" t="s">
        <v>74</v>
      </c>
      <c r="B285" t="s">
        <v>112</v>
      </c>
      <c r="C285">
        <v>0.5</v>
      </c>
      <c r="D285" t="s">
        <v>226</v>
      </c>
    </row>
    <row r="286" spans="1:4" x14ac:dyDescent="0.25">
      <c r="A286" s="10" t="s">
        <v>74</v>
      </c>
      <c r="B286" t="s">
        <v>309</v>
      </c>
      <c r="C286">
        <v>0.25</v>
      </c>
      <c r="D286" t="s">
        <v>218</v>
      </c>
    </row>
    <row r="287" spans="1:4" x14ac:dyDescent="0.25">
      <c r="A287" s="10" t="s">
        <v>74</v>
      </c>
      <c r="B287" t="s">
        <v>293</v>
      </c>
      <c r="C287">
        <v>0.25</v>
      </c>
      <c r="D287" t="s">
        <v>256</v>
      </c>
    </row>
    <row r="288" spans="1:4" x14ac:dyDescent="0.25">
      <c r="A288" s="10" t="s">
        <v>74</v>
      </c>
      <c r="B288" t="s">
        <v>318</v>
      </c>
      <c r="C288">
        <v>0.5</v>
      </c>
      <c r="D288" t="s">
        <v>218</v>
      </c>
    </row>
    <row r="289" spans="1:4" x14ac:dyDescent="0.25">
      <c r="A289" s="10" t="s">
        <v>74</v>
      </c>
      <c r="B289" t="s">
        <v>321</v>
      </c>
      <c r="C289">
        <v>0.5</v>
      </c>
      <c r="D289" t="s">
        <v>218</v>
      </c>
    </row>
    <row r="290" spans="1:4" x14ac:dyDescent="0.25">
      <c r="A290" s="10" t="s">
        <v>74</v>
      </c>
      <c r="B290" t="s">
        <v>118</v>
      </c>
      <c r="C290">
        <v>1</v>
      </c>
      <c r="D290" t="s">
        <v>213</v>
      </c>
    </row>
    <row r="292" spans="1:4" x14ac:dyDescent="0.25">
      <c r="A292" s="1" t="s">
        <v>75</v>
      </c>
      <c r="B292" t="s">
        <v>338</v>
      </c>
      <c r="C292">
        <v>250</v>
      </c>
      <c r="D292" t="s">
        <v>208</v>
      </c>
    </row>
    <row r="293" spans="1:4" x14ac:dyDescent="0.25">
      <c r="A293" s="10" t="s">
        <v>75</v>
      </c>
      <c r="B293" t="s">
        <v>243</v>
      </c>
      <c r="C293">
        <v>0.5</v>
      </c>
      <c r="D293" t="s">
        <v>213</v>
      </c>
    </row>
    <row r="294" spans="1:4" x14ac:dyDescent="0.25">
      <c r="A294" s="10" t="s">
        <v>75</v>
      </c>
      <c r="B294" t="s">
        <v>244</v>
      </c>
      <c r="C294">
        <v>20</v>
      </c>
      <c r="D294" t="s">
        <v>208</v>
      </c>
    </row>
    <row r="295" spans="1:4" x14ac:dyDescent="0.25">
      <c r="A295" s="10" t="s">
        <v>75</v>
      </c>
      <c r="B295" t="s">
        <v>318</v>
      </c>
      <c r="C295">
        <v>15</v>
      </c>
      <c r="D295" t="s">
        <v>208</v>
      </c>
    </row>
    <row r="296" spans="1:4" x14ac:dyDescent="0.25">
      <c r="A296" s="10" t="s">
        <v>75</v>
      </c>
      <c r="B296" t="s">
        <v>339</v>
      </c>
      <c r="C296">
        <v>0.25</v>
      </c>
      <c r="D296" t="s">
        <v>340</v>
      </c>
    </row>
    <row r="297" spans="1:4" x14ac:dyDescent="0.25">
      <c r="A297" s="10" t="s">
        <v>75</v>
      </c>
      <c r="B297" t="s">
        <v>45</v>
      </c>
      <c r="C297">
        <v>1</v>
      </c>
      <c r="D297" t="s">
        <v>215</v>
      </c>
    </row>
    <row r="298" spans="1:4" x14ac:dyDescent="0.25">
      <c r="A298" s="10" t="s">
        <v>75</v>
      </c>
      <c r="B298" t="s">
        <v>115</v>
      </c>
      <c r="C298">
        <v>0.5</v>
      </c>
      <c r="D298" t="s">
        <v>215</v>
      </c>
    </row>
    <row r="299" spans="1:4" x14ac:dyDescent="0.25">
      <c r="A299" s="10" t="s">
        <v>75</v>
      </c>
      <c r="B299" t="s">
        <v>341</v>
      </c>
      <c r="C299">
        <v>1.5</v>
      </c>
      <c r="D299" t="s">
        <v>215</v>
      </c>
    </row>
    <row r="300" spans="1:4" x14ac:dyDescent="0.25">
      <c r="A300" s="10" t="s">
        <v>75</v>
      </c>
      <c r="B300" t="s">
        <v>342</v>
      </c>
      <c r="C300">
        <v>2.5</v>
      </c>
      <c r="D300" t="s">
        <v>215</v>
      </c>
    </row>
    <row r="301" spans="1:4" x14ac:dyDescent="0.25">
      <c r="A301" s="10" t="s">
        <v>75</v>
      </c>
      <c r="B301" t="s">
        <v>254</v>
      </c>
      <c r="C301">
        <v>1</v>
      </c>
      <c r="D301" t="s">
        <v>213</v>
      </c>
    </row>
    <row r="302" spans="1:4" x14ac:dyDescent="0.25">
      <c r="A302" s="10" t="s">
        <v>75</v>
      </c>
      <c r="B302" t="s">
        <v>343</v>
      </c>
      <c r="C302">
        <v>200</v>
      </c>
      <c r="D302" t="s">
        <v>208</v>
      </c>
    </row>
    <row r="303" spans="1:4" x14ac:dyDescent="0.25">
      <c r="A303" s="10" t="s">
        <v>75</v>
      </c>
      <c r="B303" t="s">
        <v>344</v>
      </c>
      <c r="C303">
        <v>25</v>
      </c>
      <c r="D303" t="s">
        <v>230</v>
      </c>
    </row>
    <row r="304" spans="1:4" x14ac:dyDescent="0.25">
      <c r="A304" s="10" t="s">
        <v>75</v>
      </c>
      <c r="B304" t="s">
        <v>345</v>
      </c>
      <c r="C304">
        <v>100</v>
      </c>
      <c r="D304" t="s">
        <v>208</v>
      </c>
    </row>
    <row r="305" spans="1:4" x14ac:dyDescent="0.25">
      <c r="A305" s="10" t="s">
        <v>75</v>
      </c>
      <c r="B305" t="s">
        <v>346</v>
      </c>
      <c r="C305">
        <v>0.25</v>
      </c>
      <c r="D305" t="s">
        <v>215</v>
      </c>
    </row>
    <row r="306" spans="1:4" x14ac:dyDescent="0.25">
      <c r="A306" s="10" t="s">
        <v>75</v>
      </c>
      <c r="B306" t="s">
        <v>229</v>
      </c>
      <c r="C306">
        <v>0.5</v>
      </c>
      <c r="D306" t="s">
        <v>215</v>
      </c>
    </row>
    <row r="307" spans="1:4" x14ac:dyDescent="0.25">
      <c r="A307" s="10" t="s">
        <v>75</v>
      </c>
      <c r="B307" t="s">
        <v>347</v>
      </c>
      <c r="C307">
        <v>0.5</v>
      </c>
      <c r="D307" t="s">
        <v>213</v>
      </c>
    </row>
    <row r="308" spans="1:4" x14ac:dyDescent="0.25">
      <c r="A308" s="10" t="s">
        <v>75</v>
      </c>
      <c r="B308" t="s">
        <v>325</v>
      </c>
      <c r="C308">
        <v>0.5</v>
      </c>
      <c r="D308" t="s">
        <v>218</v>
      </c>
    </row>
    <row r="309" spans="1:4" x14ac:dyDescent="0.25">
      <c r="A309" s="10" t="s">
        <v>75</v>
      </c>
      <c r="B309" t="s">
        <v>210</v>
      </c>
      <c r="C309">
        <v>50</v>
      </c>
      <c r="D309" t="s">
        <v>208</v>
      </c>
    </row>
    <row r="311" spans="1:4" x14ac:dyDescent="0.25">
      <c r="A311" s="1" t="s">
        <v>79</v>
      </c>
      <c r="B311" t="s">
        <v>45</v>
      </c>
      <c r="C311">
        <v>0.25</v>
      </c>
      <c r="D311" t="s">
        <v>215</v>
      </c>
    </row>
    <row r="312" spans="1:4" x14ac:dyDescent="0.25">
      <c r="A312" s="10" t="s">
        <v>79</v>
      </c>
      <c r="B312" t="s">
        <v>112</v>
      </c>
      <c r="C312">
        <v>0.5</v>
      </c>
      <c r="D312" t="s">
        <v>226</v>
      </c>
    </row>
    <row r="313" spans="1:4" x14ac:dyDescent="0.25">
      <c r="A313" s="10" t="s">
        <v>79</v>
      </c>
      <c r="B313" t="s">
        <v>348</v>
      </c>
      <c r="C313">
        <v>0.5</v>
      </c>
      <c r="D313" t="s">
        <v>349</v>
      </c>
    </row>
    <row r="314" spans="1:4" x14ac:dyDescent="0.25">
      <c r="A314" s="10" t="s">
        <v>79</v>
      </c>
      <c r="B314" t="s">
        <v>350</v>
      </c>
      <c r="C314">
        <v>50</v>
      </c>
      <c r="D314" t="s">
        <v>208</v>
      </c>
    </row>
    <row r="315" spans="1:4" x14ac:dyDescent="0.25">
      <c r="A315" s="10" t="s">
        <v>79</v>
      </c>
      <c r="B315" t="s">
        <v>72</v>
      </c>
      <c r="C315">
        <v>0.25</v>
      </c>
      <c r="D315" t="s">
        <v>215</v>
      </c>
    </row>
    <row r="316" spans="1:4" x14ac:dyDescent="0.25">
      <c r="A316" s="10" t="s">
        <v>79</v>
      </c>
      <c r="B316" t="s">
        <v>351</v>
      </c>
      <c r="C316">
        <v>10</v>
      </c>
      <c r="D316" t="s">
        <v>208</v>
      </c>
    </row>
    <row r="317" spans="1:4" x14ac:dyDescent="0.25">
      <c r="A317" s="10" t="s">
        <v>79</v>
      </c>
      <c r="B317" t="s">
        <v>352</v>
      </c>
      <c r="C317">
        <v>100</v>
      </c>
      <c r="D317" t="s">
        <v>208</v>
      </c>
    </row>
    <row r="318" spans="1:4" x14ac:dyDescent="0.25">
      <c r="A318" s="10" t="s">
        <v>79</v>
      </c>
      <c r="B318" t="s">
        <v>353</v>
      </c>
      <c r="C318">
        <v>17.5</v>
      </c>
      <c r="D318" t="s">
        <v>230</v>
      </c>
    </row>
    <row r="319" spans="1:4" x14ac:dyDescent="0.25">
      <c r="A319" s="10" t="s">
        <v>79</v>
      </c>
      <c r="B319" t="s">
        <v>354</v>
      </c>
      <c r="C319">
        <v>25</v>
      </c>
      <c r="D319" t="s">
        <v>208</v>
      </c>
    </row>
    <row r="320" spans="1:4" x14ac:dyDescent="0.25">
      <c r="A320" s="10" t="s">
        <v>79</v>
      </c>
      <c r="B320" t="s">
        <v>355</v>
      </c>
      <c r="C320">
        <v>125</v>
      </c>
      <c r="D320" t="s">
        <v>208</v>
      </c>
    </row>
    <row r="321" spans="1:4" x14ac:dyDescent="0.25">
      <c r="A321" s="10" t="s">
        <v>79</v>
      </c>
      <c r="B321" t="s">
        <v>42</v>
      </c>
      <c r="C321">
        <v>1</v>
      </c>
      <c r="D321" t="s">
        <v>215</v>
      </c>
    </row>
    <row r="322" spans="1:4" x14ac:dyDescent="0.25">
      <c r="A322" s="10" t="s">
        <v>79</v>
      </c>
      <c r="B322" t="s">
        <v>163</v>
      </c>
      <c r="C322">
        <v>0.25</v>
      </c>
      <c r="D322" t="s">
        <v>215</v>
      </c>
    </row>
    <row r="324" spans="1:4" x14ac:dyDescent="0.25">
      <c r="A324" s="1" t="s">
        <v>146</v>
      </c>
      <c r="B324" t="s">
        <v>356</v>
      </c>
      <c r="C324">
        <v>150</v>
      </c>
      <c r="D324" t="s">
        <v>208</v>
      </c>
    </row>
    <row r="325" spans="1:4" x14ac:dyDescent="0.25">
      <c r="A325" s="10" t="s">
        <v>146</v>
      </c>
      <c r="B325" t="s">
        <v>328</v>
      </c>
      <c r="C325">
        <v>50</v>
      </c>
      <c r="D325" t="s">
        <v>208</v>
      </c>
    </row>
    <row r="326" spans="1:4" x14ac:dyDescent="0.25">
      <c r="A326" s="10" t="s">
        <v>146</v>
      </c>
      <c r="B326" t="s">
        <v>118</v>
      </c>
      <c r="C326">
        <v>0.25</v>
      </c>
      <c r="D326" t="s">
        <v>213</v>
      </c>
    </row>
    <row r="327" spans="1:4" x14ac:dyDescent="0.25">
      <c r="A327" s="10" t="s">
        <v>146</v>
      </c>
      <c r="B327" t="s">
        <v>28</v>
      </c>
      <c r="C327">
        <v>50</v>
      </c>
      <c r="D327" t="s">
        <v>208</v>
      </c>
    </row>
    <row r="328" spans="1:4" x14ac:dyDescent="0.25">
      <c r="A328" s="10" t="s">
        <v>146</v>
      </c>
      <c r="B328" t="s">
        <v>357</v>
      </c>
      <c r="C328">
        <v>62.5</v>
      </c>
      <c r="D328" t="s">
        <v>208</v>
      </c>
    </row>
    <row r="329" spans="1:4" x14ac:dyDescent="0.25">
      <c r="A329" s="10" t="s">
        <v>146</v>
      </c>
      <c r="B329" t="s">
        <v>358</v>
      </c>
      <c r="C329">
        <v>0.25</v>
      </c>
      <c r="D329" t="s">
        <v>359</v>
      </c>
    </row>
    <row r="330" spans="1:4" x14ac:dyDescent="0.25">
      <c r="A330" s="10" t="s">
        <v>146</v>
      </c>
      <c r="B330" t="s">
        <v>333</v>
      </c>
      <c r="C330">
        <v>18.5</v>
      </c>
      <c r="D330" t="s">
        <v>208</v>
      </c>
    </row>
    <row r="331" spans="1:4" x14ac:dyDescent="0.25">
      <c r="A331" s="10" t="s">
        <v>146</v>
      </c>
      <c r="B331" t="s">
        <v>263</v>
      </c>
      <c r="C331">
        <v>0.25</v>
      </c>
      <c r="D331" t="s">
        <v>360</v>
      </c>
    </row>
    <row r="333" spans="1:4" x14ac:dyDescent="0.25">
      <c r="A333" s="1" t="s">
        <v>82</v>
      </c>
      <c r="B333" t="s">
        <v>361</v>
      </c>
      <c r="C333">
        <v>82.5</v>
      </c>
      <c r="D333" t="s">
        <v>208</v>
      </c>
    </row>
    <row r="334" spans="1:4" x14ac:dyDescent="0.25">
      <c r="A334" s="10" t="s">
        <v>82</v>
      </c>
      <c r="B334" t="s">
        <v>8</v>
      </c>
      <c r="C334">
        <v>0.5</v>
      </c>
      <c r="D334" t="s">
        <v>215</v>
      </c>
    </row>
    <row r="335" spans="1:4" x14ac:dyDescent="0.25">
      <c r="A335" s="10" t="s">
        <v>82</v>
      </c>
      <c r="B335" t="s">
        <v>58</v>
      </c>
      <c r="C335">
        <v>1</v>
      </c>
      <c r="D335" t="s">
        <v>215</v>
      </c>
    </row>
    <row r="336" spans="1:4" x14ac:dyDescent="0.25">
      <c r="A336" s="10" t="s">
        <v>82</v>
      </c>
      <c r="B336" t="s">
        <v>243</v>
      </c>
      <c r="C336">
        <v>20</v>
      </c>
      <c r="D336" t="s">
        <v>208</v>
      </c>
    </row>
    <row r="337" spans="1:4" x14ac:dyDescent="0.25">
      <c r="A337" s="10" t="s">
        <v>82</v>
      </c>
      <c r="B337" t="s">
        <v>224</v>
      </c>
      <c r="C337">
        <v>20</v>
      </c>
      <c r="D337" t="s">
        <v>208</v>
      </c>
    </row>
    <row r="338" spans="1:4" x14ac:dyDescent="0.25">
      <c r="A338" s="10" t="s">
        <v>82</v>
      </c>
      <c r="B338" t="s">
        <v>362</v>
      </c>
      <c r="C338">
        <v>0.25</v>
      </c>
      <c r="D338" t="s">
        <v>213</v>
      </c>
    </row>
    <row r="339" spans="1:4" x14ac:dyDescent="0.25">
      <c r="A339" s="10" t="s">
        <v>82</v>
      </c>
      <c r="B339" t="s">
        <v>118</v>
      </c>
      <c r="C339">
        <v>1</v>
      </c>
      <c r="D339" t="s">
        <v>213</v>
      </c>
    </row>
    <row r="340" spans="1:4" x14ac:dyDescent="0.25">
      <c r="A340" s="10" t="s">
        <v>82</v>
      </c>
      <c r="B340" t="s">
        <v>98</v>
      </c>
      <c r="C340">
        <v>1</v>
      </c>
      <c r="D340" t="s">
        <v>215</v>
      </c>
    </row>
    <row r="341" spans="1:4" x14ac:dyDescent="0.25">
      <c r="A341" s="10" t="s">
        <v>82</v>
      </c>
      <c r="B341" t="s">
        <v>319</v>
      </c>
      <c r="C341">
        <v>0.5</v>
      </c>
      <c r="D341" t="s">
        <v>213</v>
      </c>
    </row>
    <row r="342" spans="1:4" x14ac:dyDescent="0.25">
      <c r="A342" s="10" t="s">
        <v>82</v>
      </c>
      <c r="B342" t="s">
        <v>187</v>
      </c>
      <c r="C342">
        <v>0.5</v>
      </c>
      <c r="D342" t="s">
        <v>218</v>
      </c>
    </row>
    <row r="343" spans="1:4" x14ac:dyDescent="0.25">
      <c r="A343" s="10" t="s">
        <v>82</v>
      </c>
      <c r="B343" t="s">
        <v>363</v>
      </c>
      <c r="C343">
        <v>150</v>
      </c>
      <c r="D343" t="s">
        <v>208</v>
      </c>
    </row>
    <row r="345" spans="1:4" x14ac:dyDescent="0.25">
      <c r="A345" s="1" t="s">
        <v>86</v>
      </c>
      <c r="B345" t="s">
        <v>364</v>
      </c>
      <c r="C345">
        <v>0.125</v>
      </c>
      <c r="D345" t="s">
        <v>218</v>
      </c>
    </row>
    <row r="346" spans="1:4" x14ac:dyDescent="0.25">
      <c r="A346" s="10" t="s">
        <v>86</v>
      </c>
      <c r="B346" t="s">
        <v>365</v>
      </c>
      <c r="C346">
        <v>0.125</v>
      </c>
      <c r="D346" t="s">
        <v>218</v>
      </c>
    </row>
    <row r="347" spans="1:4" x14ac:dyDescent="0.25">
      <c r="A347" s="10" t="s">
        <v>86</v>
      </c>
      <c r="B347" t="s">
        <v>366</v>
      </c>
      <c r="C347">
        <v>0.5</v>
      </c>
      <c r="D347" t="s">
        <v>218</v>
      </c>
    </row>
    <row r="348" spans="1:4" x14ac:dyDescent="0.25">
      <c r="A348" s="10" t="s">
        <v>86</v>
      </c>
      <c r="B348" t="s">
        <v>367</v>
      </c>
      <c r="C348">
        <v>0.25</v>
      </c>
      <c r="D348" t="s">
        <v>218</v>
      </c>
    </row>
    <row r="349" spans="1:4" x14ac:dyDescent="0.25">
      <c r="A349" s="10" t="s">
        <v>86</v>
      </c>
      <c r="B349" t="s">
        <v>325</v>
      </c>
      <c r="C349">
        <v>0.5</v>
      </c>
      <c r="D349" t="s">
        <v>218</v>
      </c>
    </row>
    <row r="350" spans="1:4" x14ac:dyDescent="0.25">
      <c r="A350" s="10" t="s">
        <v>86</v>
      </c>
      <c r="B350" t="s">
        <v>368</v>
      </c>
      <c r="C350">
        <v>1</v>
      </c>
      <c r="D350" t="s">
        <v>215</v>
      </c>
    </row>
    <row r="351" spans="1:4" x14ac:dyDescent="0.25">
      <c r="A351" s="10" t="s">
        <v>86</v>
      </c>
      <c r="B351" t="s">
        <v>369</v>
      </c>
      <c r="C351">
        <v>0.5</v>
      </c>
      <c r="D351" t="s">
        <v>213</v>
      </c>
    </row>
    <row r="352" spans="1:4" x14ac:dyDescent="0.25">
      <c r="A352" s="10" t="s">
        <v>86</v>
      </c>
      <c r="B352" t="s">
        <v>249</v>
      </c>
      <c r="C352">
        <v>0.5</v>
      </c>
      <c r="D352" t="s">
        <v>370</v>
      </c>
    </row>
    <row r="353" spans="1:4" x14ac:dyDescent="0.25">
      <c r="A353" s="10" t="s">
        <v>86</v>
      </c>
      <c r="B353" t="s">
        <v>371</v>
      </c>
      <c r="C353">
        <v>0.5</v>
      </c>
      <c r="D353" t="s">
        <v>213</v>
      </c>
    </row>
    <row r="354" spans="1:4" x14ac:dyDescent="0.25">
      <c r="A354" s="10" t="s">
        <v>86</v>
      </c>
      <c r="B354" t="s">
        <v>118</v>
      </c>
      <c r="C354">
        <v>0.5</v>
      </c>
      <c r="D354" t="s">
        <v>213</v>
      </c>
    </row>
    <row r="355" spans="1:4" x14ac:dyDescent="0.25">
      <c r="A355" s="10" t="s">
        <v>86</v>
      </c>
      <c r="B355" t="s">
        <v>329</v>
      </c>
      <c r="C355">
        <v>150</v>
      </c>
      <c r="D355" t="s">
        <v>208</v>
      </c>
    </row>
    <row r="357" spans="1:4" x14ac:dyDescent="0.25">
      <c r="A357" s="1" t="s">
        <v>91</v>
      </c>
      <c r="B357" t="s">
        <v>271</v>
      </c>
      <c r="C357">
        <v>200</v>
      </c>
      <c r="D357" t="s">
        <v>208</v>
      </c>
    </row>
    <row r="358" spans="1:4" x14ac:dyDescent="0.25">
      <c r="A358" s="10" t="s">
        <v>91</v>
      </c>
      <c r="B358" t="s">
        <v>372</v>
      </c>
      <c r="C358">
        <v>0.5</v>
      </c>
      <c r="D358" t="s">
        <v>373</v>
      </c>
    </row>
    <row r="359" spans="1:4" x14ac:dyDescent="0.25">
      <c r="A359" s="10" t="s">
        <v>91</v>
      </c>
      <c r="B359" t="s">
        <v>83</v>
      </c>
      <c r="C359">
        <v>1</v>
      </c>
      <c r="D359" t="s">
        <v>287</v>
      </c>
    </row>
    <row r="360" spans="1:4" x14ac:dyDescent="0.25">
      <c r="A360" s="10" t="s">
        <v>91</v>
      </c>
      <c r="B360" t="s">
        <v>87</v>
      </c>
      <c r="C360">
        <v>35</v>
      </c>
      <c r="D360" t="s">
        <v>208</v>
      </c>
    </row>
    <row r="361" spans="1:4" x14ac:dyDescent="0.25">
      <c r="A361" s="10" t="s">
        <v>91</v>
      </c>
      <c r="B361" t="s">
        <v>374</v>
      </c>
      <c r="C361">
        <v>1</v>
      </c>
      <c r="D361" t="s">
        <v>213</v>
      </c>
    </row>
    <row r="362" spans="1:4" x14ac:dyDescent="0.25">
      <c r="A362" s="10" t="s">
        <v>91</v>
      </c>
      <c r="B362" t="s">
        <v>237</v>
      </c>
      <c r="C362">
        <v>0.5</v>
      </c>
      <c r="D362" t="s">
        <v>213</v>
      </c>
    </row>
    <row r="363" spans="1:4" x14ac:dyDescent="0.25">
      <c r="A363" s="10" t="s">
        <v>91</v>
      </c>
      <c r="B363" t="s">
        <v>100</v>
      </c>
      <c r="C363">
        <v>0.5</v>
      </c>
      <c r="D363" t="s">
        <v>215</v>
      </c>
    </row>
    <row r="364" spans="1:4" x14ac:dyDescent="0.25">
      <c r="A364" s="10" t="s">
        <v>91</v>
      </c>
      <c r="B364" t="s">
        <v>244</v>
      </c>
      <c r="C364">
        <v>15</v>
      </c>
      <c r="D364" t="s">
        <v>208</v>
      </c>
    </row>
    <row r="365" spans="1:4" x14ac:dyDescent="0.25">
      <c r="A365" s="10" t="s">
        <v>91</v>
      </c>
      <c r="B365" t="s">
        <v>243</v>
      </c>
      <c r="C365">
        <v>1</v>
      </c>
      <c r="D365" t="s">
        <v>213</v>
      </c>
    </row>
    <row r="366" spans="1:4" x14ac:dyDescent="0.25">
      <c r="A366" s="10" t="s">
        <v>91</v>
      </c>
      <c r="B366" t="s">
        <v>261</v>
      </c>
      <c r="C366">
        <v>300</v>
      </c>
      <c r="D366" t="s">
        <v>230</v>
      </c>
    </row>
    <row r="367" spans="1:4" x14ac:dyDescent="0.25">
      <c r="A367" s="10" t="s">
        <v>91</v>
      </c>
      <c r="B367" t="s">
        <v>375</v>
      </c>
      <c r="C367">
        <v>50</v>
      </c>
      <c r="D367" t="s">
        <v>208</v>
      </c>
    </row>
    <row r="368" spans="1:4" x14ac:dyDescent="0.25">
      <c r="A368" s="10" t="s">
        <v>91</v>
      </c>
      <c r="B368" t="s">
        <v>45</v>
      </c>
      <c r="C368">
        <v>0.5</v>
      </c>
      <c r="D368" t="s">
        <v>215</v>
      </c>
    </row>
    <row r="369" spans="1:4" x14ac:dyDescent="0.25">
      <c r="A369" s="10" t="s">
        <v>91</v>
      </c>
      <c r="B369" t="s">
        <v>112</v>
      </c>
      <c r="C369">
        <v>1</v>
      </c>
      <c r="D369" t="s">
        <v>226</v>
      </c>
    </row>
    <row r="370" spans="1:4" x14ac:dyDescent="0.25">
      <c r="A370" s="10" t="s">
        <v>91</v>
      </c>
      <c r="B370" t="s">
        <v>42</v>
      </c>
      <c r="C370">
        <v>1.5</v>
      </c>
      <c r="D370" t="s">
        <v>215</v>
      </c>
    </row>
    <row r="371" spans="1:4" x14ac:dyDescent="0.25">
      <c r="A371" s="10" t="s">
        <v>91</v>
      </c>
      <c r="B371" t="s">
        <v>38</v>
      </c>
      <c r="C371">
        <v>1</v>
      </c>
      <c r="D371" t="s">
        <v>215</v>
      </c>
    </row>
    <row r="372" spans="1:4" x14ac:dyDescent="0.25">
      <c r="A372" s="10" t="s">
        <v>91</v>
      </c>
      <c r="B372" t="s">
        <v>36</v>
      </c>
      <c r="C372">
        <v>0.5</v>
      </c>
      <c r="D372" t="s">
        <v>215</v>
      </c>
    </row>
    <row r="373" spans="1:4" x14ac:dyDescent="0.25">
      <c r="A373" s="10" t="s">
        <v>91</v>
      </c>
      <c r="B373" t="s">
        <v>118</v>
      </c>
      <c r="C373">
        <v>1</v>
      </c>
      <c r="D373" t="s">
        <v>213</v>
      </c>
    </row>
    <row r="375" spans="1:4" x14ac:dyDescent="0.25">
      <c r="A375" s="1" t="s">
        <v>93</v>
      </c>
      <c r="B375" t="s">
        <v>376</v>
      </c>
      <c r="C375">
        <v>125</v>
      </c>
      <c r="D375" t="s">
        <v>208</v>
      </c>
    </row>
    <row r="376" spans="1:4" x14ac:dyDescent="0.25">
      <c r="A376" s="10" t="s">
        <v>93</v>
      </c>
      <c r="B376" t="s">
        <v>76</v>
      </c>
      <c r="C376">
        <v>5</v>
      </c>
      <c r="D376" t="s">
        <v>208</v>
      </c>
    </row>
    <row r="377" spans="1:4" x14ac:dyDescent="0.25">
      <c r="A377" s="10" t="s">
        <v>93</v>
      </c>
      <c r="B377" t="s">
        <v>377</v>
      </c>
      <c r="C377">
        <v>15</v>
      </c>
      <c r="D377" t="s">
        <v>208</v>
      </c>
    </row>
    <row r="378" spans="1:4" x14ac:dyDescent="0.25">
      <c r="A378" s="10" t="s">
        <v>93</v>
      </c>
      <c r="B378" t="s">
        <v>309</v>
      </c>
      <c r="C378">
        <v>0.5</v>
      </c>
      <c r="D378" t="s">
        <v>213</v>
      </c>
    </row>
    <row r="379" spans="1:4" x14ac:dyDescent="0.25">
      <c r="A379" s="10" t="s">
        <v>93</v>
      </c>
      <c r="B379" t="s">
        <v>58</v>
      </c>
      <c r="C379">
        <v>0.25</v>
      </c>
      <c r="D379" t="s">
        <v>215</v>
      </c>
    </row>
    <row r="380" spans="1:4" x14ac:dyDescent="0.25">
      <c r="A380" s="10" t="s">
        <v>93</v>
      </c>
      <c r="B380" t="s">
        <v>118</v>
      </c>
      <c r="C380">
        <v>1</v>
      </c>
      <c r="D380" t="s">
        <v>213</v>
      </c>
    </row>
    <row r="381" spans="1:4" x14ac:dyDescent="0.25">
      <c r="A381" s="10" t="s">
        <v>93</v>
      </c>
      <c r="B381" t="s">
        <v>378</v>
      </c>
      <c r="C381">
        <v>0.5</v>
      </c>
      <c r="D381" t="s">
        <v>373</v>
      </c>
    </row>
    <row r="382" spans="1:4" x14ac:dyDescent="0.25">
      <c r="A382" s="10" t="s">
        <v>93</v>
      </c>
      <c r="B382" t="s">
        <v>36</v>
      </c>
      <c r="C382">
        <v>0.5</v>
      </c>
      <c r="D382" t="s">
        <v>215</v>
      </c>
    </row>
    <row r="383" spans="1:4" x14ac:dyDescent="0.25">
      <c r="A383" s="10" t="s">
        <v>93</v>
      </c>
      <c r="B383" t="s">
        <v>72</v>
      </c>
      <c r="C383">
        <v>0.25</v>
      </c>
      <c r="D383" t="s">
        <v>215</v>
      </c>
    </row>
    <row r="384" spans="1:4" x14ac:dyDescent="0.25">
      <c r="A384" s="10" t="s">
        <v>93</v>
      </c>
      <c r="B384" t="s">
        <v>379</v>
      </c>
      <c r="C384">
        <v>25</v>
      </c>
      <c r="D384" t="s">
        <v>208</v>
      </c>
    </row>
    <row r="385" spans="1:4" x14ac:dyDescent="0.25">
      <c r="A385" s="10" t="s">
        <v>93</v>
      </c>
      <c r="B385" t="s">
        <v>45</v>
      </c>
      <c r="C385">
        <v>0.5</v>
      </c>
      <c r="D385" t="s">
        <v>215</v>
      </c>
    </row>
    <row r="386" spans="1:4" x14ac:dyDescent="0.25">
      <c r="A386" s="10" t="s">
        <v>93</v>
      </c>
      <c r="B386" t="s">
        <v>112</v>
      </c>
      <c r="C386">
        <v>0.5</v>
      </c>
      <c r="D386" t="s">
        <v>226</v>
      </c>
    </row>
    <row r="387" spans="1:4" x14ac:dyDescent="0.25">
      <c r="A387" s="10" t="s">
        <v>93</v>
      </c>
      <c r="B387" t="s">
        <v>380</v>
      </c>
      <c r="C387">
        <v>175</v>
      </c>
      <c r="D387" t="s">
        <v>230</v>
      </c>
    </row>
    <row r="388" spans="1:4" x14ac:dyDescent="0.25">
      <c r="A388" s="10" t="s">
        <v>93</v>
      </c>
      <c r="B388" t="s">
        <v>244</v>
      </c>
      <c r="C388">
        <v>15</v>
      </c>
      <c r="D388" t="s">
        <v>208</v>
      </c>
    </row>
    <row r="389" spans="1:4" x14ac:dyDescent="0.25">
      <c r="A389" s="10" t="s">
        <v>93</v>
      </c>
      <c r="B389" t="s">
        <v>243</v>
      </c>
      <c r="C389">
        <v>10</v>
      </c>
      <c r="D389" t="s">
        <v>208</v>
      </c>
    </row>
    <row r="390" spans="1:4" x14ac:dyDescent="0.25">
      <c r="A390" s="10" t="s">
        <v>93</v>
      </c>
      <c r="B390" t="s">
        <v>261</v>
      </c>
      <c r="C390">
        <v>150</v>
      </c>
      <c r="D390" t="s">
        <v>230</v>
      </c>
    </row>
    <row r="391" spans="1:4" x14ac:dyDescent="0.25">
      <c r="A391" s="10" t="s">
        <v>93</v>
      </c>
      <c r="B391" t="s">
        <v>166</v>
      </c>
      <c r="C391">
        <v>0.5</v>
      </c>
      <c r="D391" t="s">
        <v>218</v>
      </c>
    </row>
    <row r="392" spans="1:4" x14ac:dyDescent="0.25">
      <c r="A392" s="10" t="s">
        <v>93</v>
      </c>
      <c r="B392" t="s">
        <v>172</v>
      </c>
      <c r="C392">
        <v>10</v>
      </c>
      <c r="D392" t="s">
        <v>208</v>
      </c>
    </row>
    <row r="394" spans="1:4" x14ac:dyDescent="0.25">
      <c r="A394" s="1" t="s">
        <v>99</v>
      </c>
      <c r="B394" t="s">
        <v>381</v>
      </c>
      <c r="C394">
        <v>87.5</v>
      </c>
      <c r="D394" t="s">
        <v>208</v>
      </c>
    </row>
    <row r="395" spans="1:4" x14ac:dyDescent="0.25">
      <c r="A395" s="10" t="s">
        <v>99</v>
      </c>
      <c r="B395" t="s">
        <v>13</v>
      </c>
      <c r="C395">
        <v>150</v>
      </c>
      <c r="D395" t="s">
        <v>208</v>
      </c>
    </row>
    <row r="396" spans="1:4" x14ac:dyDescent="0.25">
      <c r="A396" s="10" t="s">
        <v>99</v>
      </c>
      <c r="B396" t="s">
        <v>382</v>
      </c>
      <c r="C396">
        <v>30</v>
      </c>
      <c r="D396" t="s">
        <v>208</v>
      </c>
    </row>
    <row r="397" spans="1:4" x14ac:dyDescent="0.25">
      <c r="A397" s="10" t="s">
        <v>99</v>
      </c>
      <c r="B397" t="s">
        <v>244</v>
      </c>
      <c r="C397">
        <v>15</v>
      </c>
      <c r="D397" t="s">
        <v>208</v>
      </c>
    </row>
    <row r="398" spans="1:4" x14ac:dyDescent="0.25">
      <c r="A398" s="10" t="s">
        <v>99</v>
      </c>
      <c r="B398" t="s">
        <v>243</v>
      </c>
      <c r="C398">
        <v>12.5</v>
      </c>
      <c r="D398" t="s">
        <v>208</v>
      </c>
    </row>
    <row r="399" spans="1:4" x14ac:dyDescent="0.25">
      <c r="A399" s="10" t="s">
        <v>99</v>
      </c>
      <c r="B399" t="s">
        <v>383</v>
      </c>
      <c r="C399">
        <v>125</v>
      </c>
      <c r="D399" t="s">
        <v>230</v>
      </c>
    </row>
    <row r="400" spans="1:4" x14ac:dyDescent="0.25">
      <c r="A400" s="10" t="s">
        <v>99</v>
      </c>
      <c r="B400" t="s">
        <v>384</v>
      </c>
      <c r="C400">
        <v>30</v>
      </c>
      <c r="D400" t="s">
        <v>208</v>
      </c>
    </row>
    <row r="402" spans="1:4" x14ac:dyDescent="0.25">
      <c r="A402" s="1" t="s">
        <v>105</v>
      </c>
      <c r="B402" t="s">
        <v>376</v>
      </c>
      <c r="C402">
        <v>100</v>
      </c>
      <c r="D402" t="s">
        <v>208</v>
      </c>
    </row>
    <row r="403" spans="1:4" x14ac:dyDescent="0.25">
      <c r="A403" s="10" t="s">
        <v>105</v>
      </c>
      <c r="B403" t="s">
        <v>244</v>
      </c>
      <c r="C403">
        <v>15</v>
      </c>
      <c r="D403" t="s">
        <v>208</v>
      </c>
    </row>
    <row r="404" spans="1:4" x14ac:dyDescent="0.25">
      <c r="A404" s="10" t="s">
        <v>105</v>
      </c>
      <c r="B404" t="s">
        <v>45</v>
      </c>
      <c r="C404">
        <v>0.5</v>
      </c>
      <c r="D404" t="s">
        <v>215</v>
      </c>
    </row>
    <row r="405" spans="1:4" x14ac:dyDescent="0.25">
      <c r="A405" s="10" t="s">
        <v>105</v>
      </c>
      <c r="B405" t="s">
        <v>38</v>
      </c>
      <c r="C405">
        <v>0.25</v>
      </c>
      <c r="D405" t="s">
        <v>215</v>
      </c>
    </row>
    <row r="406" spans="1:4" x14ac:dyDescent="0.25">
      <c r="A406" s="10" t="s">
        <v>105</v>
      </c>
      <c r="B406" t="s">
        <v>42</v>
      </c>
      <c r="C406">
        <v>1</v>
      </c>
      <c r="D406" t="s">
        <v>215</v>
      </c>
    </row>
    <row r="407" spans="1:4" x14ac:dyDescent="0.25">
      <c r="A407" s="10" t="s">
        <v>105</v>
      </c>
      <c r="B407" t="s">
        <v>71</v>
      </c>
      <c r="C407">
        <v>0.5</v>
      </c>
      <c r="D407" t="s">
        <v>288</v>
      </c>
    </row>
    <row r="408" spans="1:4" x14ac:dyDescent="0.25">
      <c r="A408" s="10" t="s">
        <v>105</v>
      </c>
      <c r="B408" t="s">
        <v>92</v>
      </c>
      <c r="C408">
        <v>0.5</v>
      </c>
      <c r="D408" t="s">
        <v>385</v>
      </c>
    </row>
    <row r="409" spans="1:4" x14ac:dyDescent="0.25">
      <c r="A409" s="10" t="s">
        <v>105</v>
      </c>
      <c r="B409" t="s">
        <v>386</v>
      </c>
      <c r="C409">
        <v>125</v>
      </c>
      <c r="D409" t="s">
        <v>208</v>
      </c>
    </row>
    <row r="410" spans="1:4" x14ac:dyDescent="0.25">
      <c r="A410" s="10" t="s">
        <v>105</v>
      </c>
      <c r="B410" t="s">
        <v>259</v>
      </c>
      <c r="C410">
        <v>62.5</v>
      </c>
      <c r="D410" t="s">
        <v>230</v>
      </c>
    </row>
    <row r="411" spans="1:4" x14ac:dyDescent="0.25">
      <c r="A411" s="10" t="s">
        <v>105</v>
      </c>
      <c r="B411" t="s">
        <v>210</v>
      </c>
      <c r="C411">
        <v>62.5</v>
      </c>
      <c r="D411" t="s">
        <v>208</v>
      </c>
    </row>
    <row r="412" spans="1:4" x14ac:dyDescent="0.25">
      <c r="A412" s="10" t="s">
        <v>105</v>
      </c>
      <c r="B412" t="s">
        <v>387</v>
      </c>
      <c r="C412">
        <v>0.25</v>
      </c>
      <c r="D412" t="s">
        <v>360</v>
      </c>
    </row>
    <row r="414" spans="1:4" x14ac:dyDescent="0.25">
      <c r="A414" s="1" t="s">
        <v>35</v>
      </c>
      <c r="B414" t="s">
        <v>8</v>
      </c>
      <c r="C414">
        <v>87.5</v>
      </c>
      <c r="D414" t="s">
        <v>208</v>
      </c>
    </row>
    <row r="415" spans="1:4" x14ac:dyDescent="0.25">
      <c r="A415" s="10" t="s">
        <v>35</v>
      </c>
      <c r="B415" t="s">
        <v>53</v>
      </c>
      <c r="C415">
        <v>50</v>
      </c>
      <c r="D415" t="s">
        <v>208</v>
      </c>
    </row>
    <row r="416" spans="1:4" x14ac:dyDescent="0.25">
      <c r="A416" s="10" t="s">
        <v>35</v>
      </c>
      <c r="B416" t="s">
        <v>92</v>
      </c>
      <c r="C416">
        <v>0.5</v>
      </c>
      <c r="D416" t="s">
        <v>385</v>
      </c>
    </row>
    <row r="417" spans="1:4" x14ac:dyDescent="0.25">
      <c r="A417" s="10" t="s">
        <v>35</v>
      </c>
      <c r="B417" t="s">
        <v>98</v>
      </c>
      <c r="C417">
        <v>0.5</v>
      </c>
      <c r="D417" t="s">
        <v>215</v>
      </c>
    </row>
    <row r="418" spans="1:4" x14ac:dyDescent="0.25">
      <c r="A418" s="10" t="s">
        <v>35</v>
      </c>
      <c r="B418" t="s">
        <v>38</v>
      </c>
      <c r="C418">
        <v>1</v>
      </c>
      <c r="D418" t="s">
        <v>215</v>
      </c>
    </row>
    <row r="419" spans="1:4" x14ac:dyDescent="0.25">
      <c r="A419" s="10" t="s">
        <v>35</v>
      </c>
      <c r="B419" t="s">
        <v>67</v>
      </c>
      <c r="C419">
        <v>0.5</v>
      </c>
      <c r="D419" t="s">
        <v>288</v>
      </c>
    </row>
    <row r="420" spans="1:4" x14ac:dyDescent="0.25">
      <c r="A420" s="10" t="s">
        <v>35</v>
      </c>
      <c r="B420" t="s">
        <v>71</v>
      </c>
      <c r="C420">
        <v>0.5</v>
      </c>
      <c r="D420" t="s">
        <v>288</v>
      </c>
    </row>
    <row r="421" spans="1:4" x14ac:dyDescent="0.25">
      <c r="A421" s="10" t="s">
        <v>35</v>
      </c>
      <c r="B421" t="s">
        <v>63</v>
      </c>
      <c r="C421">
        <v>50</v>
      </c>
      <c r="D421" t="s">
        <v>208</v>
      </c>
    </row>
    <row r="422" spans="1:4" x14ac:dyDescent="0.25">
      <c r="A422" s="10" t="s">
        <v>35</v>
      </c>
      <c r="B422" t="s">
        <v>118</v>
      </c>
      <c r="C422">
        <v>1</v>
      </c>
      <c r="D422" t="s">
        <v>213</v>
      </c>
    </row>
    <row r="423" spans="1:4" x14ac:dyDescent="0.25">
      <c r="A423" s="10" t="s">
        <v>35</v>
      </c>
      <c r="B423" t="s">
        <v>100</v>
      </c>
      <c r="C423">
        <v>0.5</v>
      </c>
      <c r="D423" t="s">
        <v>246</v>
      </c>
    </row>
    <row r="425" spans="1:4" x14ac:dyDescent="0.25">
      <c r="A425" s="1" t="s">
        <v>7</v>
      </c>
      <c r="B425" t="s">
        <v>90</v>
      </c>
      <c r="C425">
        <v>110</v>
      </c>
      <c r="D425" t="s">
        <v>208</v>
      </c>
    </row>
    <row r="426" spans="1:4" x14ac:dyDescent="0.25">
      <c r="A426" s="10" t="s">
        <v>7</v>
      </c>
      <c r="B426" t="s">
        <v>36</v>
      </c>
      <c r="C426">
        <v>0.25</v>
      </c>
      <c r="D426" t="s">
        <v>215</v>
      </c>
    </row>
    <row r="427" spans="1:4" x14ac:dyDescent="0.25">
      <c r="A427" s="10" t="s">
        <v>7</v>
      </c>
      <c r="B427" t="s">
        <v>72</v>
      </c>
      <c r="C427">
        <v>0.25</v>
      </c>
      <c r="D427" t="s">
        <v>215</v>
      </c>
    </row>
    <row r="428" spans="1:4" x14ac:dyDescent="0.25">
      <c r="A428" s="10" t="s">
        <v>7</v>
      </c>
      <c r="B428" t="s">
        <v>69</v>
      </c>
      <c r="C428">
        <v>62.5</v>
      </c>
      <c r="D428" t="s">
        <v>230</v>
      </c>
    </row>
    <row r="429" spans="1:4" x14ac:dyDescent="0.25">
      <c r="A429" s="10" t="s">
        <v>7</v>
      </c>
      <c r="B429" t="s">
        <v>18</v>
      </c>
      <c r="C429">
        <v>100</v>
      </c>
      <c r="D429" t="s">
        <v>208</v>
      </c>
    </row>
    <row r="430" spans="1:4" x14ac:dyDescent="0.25">
      <c r="A430" s="10" t="s">
        <v>7</v>
      </c>
      <c r="B430" t="s">
        <v>103</v>
      </c>
      <c r="C430">
        <v>75</v>
      </c>
      <c r="D430" t="s">
        <v>208</v>
      </c>
    </row>
    <row r="431" spans="1:4" x14ac:dyDescent="0.25">
      <c r="A431" s="10" t="s">
        <v>7</v>
      </c>
      <c r="B431" t="s">
        <v>122</v>
      </c>
      <c r="C431">
        <v>22.5</v>
      </c>
      <c r="D431" t="s">
        <v>208</v>
      </c>
    </row>
    <row r="432" spans="1:4" x14ac:dyDescent="0.25">
      <c r="A432" s="10" t="s">
        <v>7</v>
      </c>
      <c r="B432" t="s">
        <v>32</v>
      </c>
      <c r="C432">
        <v>62.5</v>
      </c>
      <c r="D432" t="s">
        <v>208</v>
      </c>
    </row>
    <row r="434" spans="1:4" x14ac:dyDescent="0.25">
      <c r="A434" s="1" t="s">
        <v>135</v>
      </c>
      <c r="B434" t="s">
        <v>193</v>
      </c>
      <c r="C434">
        <v>0.25</v>
      </c>
      <c r="D434" t="s">
        <v>213</v>
      </c>
    </row>
    <row r="435" spans="1:4" x14ac:dyDescent="0.25">
      <c r="A435" s="10" t="s">
        <v>135</v>
      </c>
      <c r="B435" t="s">
        <v>198</v>
      </c>
      <c r="C435">
        <v>0.25</v>
      </c>
      <c r="D435" t="s">
        <v>213</v>
      </c>
    </row>
    <row r="436" spans="1:4" x14ac:dyDescent="0.25">
      <c r="A436" s="10" t="s">
        <v>135</v>
      </c>
      <c r="B436" t="s">
        <v>193</v>
      </c>
      <c r="C436">
        <v>0.5</v>
      </c>
      <c r="D436" t="s">
        <v>213</v>
      </c>
    </row>
    <row r="437" spans="1:4" x14ac:dyDescent="0.25">
      <c r="A437" s="10" t="s">
        <v>135</v>
      </c>
      <c r="B437" t="s">
        <v>195</v>
      </c>
      <c r="C437">
        <v>0.25</v>
      </c>
      <c r="D437" t="s">
        <v>213</v>
      </c>
    </row>
    <row r="438" spans="1:4" x14ac:dyDescent="0.25">
      <c r="A438" s="10" t="s">
        <v>135</v>
      </c>
      <c r="B438" t="s">
        <v>187</v>
      </c>
      <c r="C438">
        <v>0.25</v>
      </c>
      <c r="D438" t="s">
        <v>213</v>
      </c>
    </row>
    <row r="439" spans="1:4" x14ac:dyDescent="0.25">
      <c r="A439" s="10" t="s">
        <v>135</v>
      </c>
      <c r="B439" t="s">
        <v>174</v>
      </c>
      <c r="C439">
        <v>0.125</v>
      </c>
      <c r="D439" t="s">
        <v>218</v>
      </c>
    </row>
    <row r="440" spans="1:4" x14ac:dyDescent="0.25">
      <c r="A440" s="10" t="s">
        <v>135</v>
      </c>
      <c r="B440" t="s">
        <v>182</v>
      </c>
      <c r="C440">
        <v>0.125</v>
      </c>
      <c r="D440" t="s">
        <v>215</v>
      </c>
    </row>
    <row r="441" spans="1:4" x14ac:dyDescent="0.25">
      <c r="A441" s="10" t="s">
        <v>135</v>
      </c>
      <c r="B441" t="s">
        <v>98</v>
      </c>
      <c r="C441">
        <v>1</v>
      </c>
      <c r="D441" t="s">
        <v>215</v>
      </c>
    </row>
    <row r="442" spans="1:4" x14ac:dyDescent="0.25">
      <c r="A442" s="10" t="s">
        <v>135</v>
      </c>
      <c r="B442" t="s">
        <v>181</v>
      </c>
      <c r="C442">
        <v>50</v>
      </c>
      <c r="D442" t="s">
        <v>208</v>
      </c>
    </row>
    <row r="443" spans="1:4" x14ac:dyDescent="0.25">
      <c r="A443" s="10" t="s">
        <v>135</v>
      </c>
      <c r="B443" t="s">
        <v>336</v>
      </c>
      <c r="C443">
        <v>100</v>
      </c>
      <c r="D443" t="s">
        <v>208</v>
      </c>
    </row>
    <row r="444" spans="1:4" x14ac:dyDescent="0.25">
      <c r="A444" s="10" t="s">
        <v>135</v>
      </c>
      <c r="B444" t="s">
        <v>165</v>
      </c>
      <c r="C444">
        <v>0.5</v>
      </c>
      <c r="D444" t="s">
        <v>215</v>
      </c>
    </row>
    <row r="445" spans="1:4" x14ac:dyDescent="0.25">
      <c r="A445" s="10" t="s">
        <v>135</v>
      </c>
      <c r="B445" t="s">
        <v>160</v>
      </c>
      <c r="C445">
        <v>0.5</v>
      </c>
      <c r="D445" t="s">
        <v>215</v>
      </c>
    </row>
    <row r="446" spans="1:4" x14ac:dyDescent="0.25">
      <c r="A446" s="10" t="s">
        <v>135</v>
      </c>
      <c r="B446" t="s">
        <v>163</v>
      </c>
      <c r="C446">
        <v>0.125</v>
      </c>
      <c r="D446" t="s">
        <v>215</v>
      </c>
    </row>
    <row r="447" spans="1:4" x14ac:dyDescent="0.25">
      <c r="A447" s="10" t="s">
        <v>135</v>
      </c>
      <c r="B447" t="s">
        <v>168</v>
      </c>
      <c r="C447">
        <v>1</v>
      </c>
      <c r="D447" t="s">
        <v>215</v>
      </c>
    </row>
    <row r="448" spans="1:4" x14ac:dyDescent="0.25">
      <c r="A448" s="10" t="s">
        <v>135</v>
      </c>
      <c r="B448" t="s">
        <v>188</v>
      </c>
      <c r="C448">
        <v>1</v>
      </c>
      <c r="D448" t="s">
        <v>213</v>
      </c>
    </row>
    <row r="450" spans="1:4" x14ac:dyDescent="0.25">
      <c r="A450" s="1" t="s">
        <v>136</v>
      </c>
      <c r="B450" t="s">
        <v>181</v>
      </c>
      <c r="C450">
        <v>150</v>
      </c>
      <c r="D450" t="s">
        <v>208</v>
      </c>
    </row>
    <row r="451" spans="1:4" x14ac:dyDescent="0.25">
      <c r="A451" s="10" t="s">
        <v>136</v>
      </c>
      <c r="B451" t="s">
        <v>326</v>
      </c>
      <c r="C451">
        <v>150</v>
      </c>
      <c r="D451" t="s">
        <v>208</v>
      </c>
    </row>
    <row r="452" spans="1:4" x14ac:dyDescent="0.25">
      <c r="A452" s="10" t="s">
        <v>136</v>
      </c>
      <c r="B452" t="s">
        <v>98</v>
      </c>
      <c r="C452">
        <v>0.5</v>
      </c>
      <c r="D452" t="s">
        <v>215</v>
      </c>
    </row>
    <row r="453" spans="1:4" x14ac:dyDescent="0.25">
      <c r="A453" s="10" t="s">
        <v>136</v>
      </c>
      <c r="B453" t="s">
        <v>388</v>
      </c>
      <c r="C453">
        <v>0.25</v>
      </c>
      <c r="D453" t="s">
        <v>215</v>
      </c>
    </row>
    <row r="454" spans="1:4" x14ac:dyDescent="0.25">
      <c r="A454" s="10" t="s">
        <v>136</v>
      </c>
      <c r="B454" t="s">
        <v>193</v>
      </c>
      <c r="C454">
        <v>1</v>
      </c>
      <c r="D454" t="s">
        <v>213</v>
      </c>
    </row>
    <row r="455" spans="1:4" x14ac:dyDescent="0.25">
      <c r="A455" s="10" t="s">
        <v>136</v>
      </c>
      <c r="B455" t="s">
        <v>160</v>
      </c>
      <c r="C455">
        <v>0.5</v>
      </c>
      <c r="D455" t="s">
        <v>215</v>
      </c>
    </row>
    <row r="456" spans="1:4" x14ac:dyDescent="0.25">
      <c r="A456" s="10" t="s">
        <v>136</v>
      </c>
      <c r="B456" t="s">
        <v>165</v>
      </c>
      <c r="C456">
        <v>0.5</v>
      </c>
      <c r="D456" t="s">
        <v>215</v>
      </c>
    </row>
    <row r="457" spans="1:4" x14ac:dyDescent="0.25">
      <c r="A457" s="10" t="s">
        <v>136</v>
      </c>
      <c r="B457" t="s">
        <v>187</v>
      </c>
      <c r="C457">
        <v>1.5</v>
      </c>
      <c r="D457" t="s">
        <v>218</v>
      </c>
    </row>
    <row r="458" spans="1:4" x14ac:dyDescent="0.25">
      <c r="A458" s="10" t="s">
        <v>136</v>
      </c>
      <c r="B458" t="s">
        <v>389</v>
      </c>
      <c r="C458">
        <v>1</v>
      </c>
      <c r="D458" t="s">
        <v>213</v>
      </c>
    </row>
    <row r="459" spans="1:4" x14ac:dyDescent="0.25">
      <c r="A459" s="10"/>
    </row>
    <row r="460" spans="1:4" x14ac:dyDescent="0.25">
      <c r="A460" s="1" t="s">
        <v>140</v>
      </c>
      <c r="B460" t="s">
        <v>181</v>
      </c>
      <c r="C460">
        <v>87.5</v>
      </c>
      <c r="D460" t="s">
        <v>208</v>
      </c>
    </row>
    <row r="461" spans="1:4" x14ac:dyDescent="0.25">
      <c r="A461" s="10" t="s">
        <v>140</v>
      </c>
      <c r="B461" t="s">
        <v>390</v>
      </c>
      <c r="C461">
        <v>100</v>
      </c>
      <c r="D461" t="s">
        <v>208</v>
      </c>
    </row>
    <row r="462" spans="1:4" x14ac:dyDescent="0.25">
      <c r="A462" s="10" t="s">
        <v>140</v>
      </c>
      <c r="B462" t="s">
        <v>45</v>
      </c>
      <c r="C462">
        <v>0.5</v>
      </c>
      <c r="D462" t="s">
        <v>215</v>
      </c>
    </row>
    <row r="463" spans="1:4" x14ac:dyDescent="0.25">
      <c r="A463" s="10" t="s">
        <v>140</v>
      </c>
      <c r="B463" t="s">
        <v>112</v>
      </c>
      <c r="C463">
        <v>0.5</v>
      </c>
      <c r="D463" t="s">
        <v>226</v>
      </c>
    </row>
    <row r="464" spans="1:4" x14ac:dyDescent="0.25">
      <c r="A464" s="10" t="s">
        <v>140</v>
      </c>
      <c r="B464" t="s">
        <v>13</v>
      </c>
      <c r="C464">
        <v>0.25</v>
      </c>
      <c r="D464" t="s">
        <v>215</v>
      </c>
    </row>
    <row r="465" spans="1:4" x14ac:dyDescent="0.25">
      <c r="A465" s="10" t="s">
        <v>140</v>
      </c>
      <c r="B465" t="s">
        <v>301</v>
      </c>
      <c r="C465">
        <v>50</v>
      </c>
      <c r="D465" t="s">
        <v>230</v>
      </c>
    </row>
    <row r="466" spans="1:4" x14ac:dyDescent="0.25">
      <c r="A466" s="10" t="s">
        <v>140</v>
      </c>
      <c r="B466" t="s">
        <v>391</v>
      </c>
      <c r="C466">
        <v>0.5</v>
      </c>
      <c r="D466" t="s">
        <v>360</v>
      </c>
    </row>
    <row r="467" spans="1:4" x14ac:dyDescent="0.25">
      <c r="A467" s="10" t="s">
        <v>140</v>
      </c>
      <c r="B467" t="s">
        <v>346</v>
      </c>
      <c r="C467">
        <v>1</v>
      </c>
      <c r="D467" t="s">
        <v>215</v>
      </c>
    </row>
    <row r="469" spans="1:4" x14ac:dyDescent="0.25">
      <c r="A469" s="1" t="s">
        <v>141</v>
      </c>
      <c r="B469" t="s">
        <v>181</v>
      </c>
      <c r="C469">
        <v>75</v>
      </c>
      <c r="D469" t="s">
        <v>208</v>
      </c>
    </row>
    <row r="470" spans="1:4" x14ac:dyDescent="0.25">
      <c r="A470" s="10" t="s">
        <v>141</v>
      </c>
      <c r="B470" t="s">
        <v>392</v>
      </c>
      <c r="C470">
        <v>5</v>
      </c>
      <c r="D470" t="s">
        <v>208</v>
      </c>
    </row>
    <row r="471" spans="1:4" x14ac:dyDescent="0.25">
      <c r="A471" s="10" t="s">
        <v>141</v>
      </c>
      <c r="B471" t="s">
        <v>388</v>
      </c>
      <c r="C471">
        <v>0.25</v>
      </c>
      <c r="D471" t="s">
        <v>215</v>
      </c>
    </row>
    <row r="472" spans="1:4" x14ac:dyDescent="0.25">
      <c r="A472" s="10" t="s">
        <v>141</v>
      </c>
      <c r="B472" t="s">
        <v>118</v>
      </c>
      <c r="C472">
        <v>0.5</v>
      </c>
      <c r="D472" t="s">
        <v>213</v>
      </c>
    </row>
    <row r="473" spans="1:4" x14ac:dyDescent="0.25">
      <c r="A473" s="10" t="s">
        <v>141</v>
      </c>
      <c r="B473" t="s">
        <v>8</v>
      </c>
      <c r="C473">
        <v>100</v>
      </c>
      <c r="D473" t="s">
        <v>208</v>
      </c>
    </row>
    <row r="474" spans="1:4" x14ac:dyDescent="0.25">
      <c r="A474" s="10" t="s">
        <v>141</v>
      </c>
      <c r="B474" t="s">
        <v>186</v>
      </c>
      <c r="C474">
        <v>75</v>
      </c>
      <c r="D474" t="s">
        <v>208</v>
      </c>
    </row>
    <row r="475" spans="1:4" x14ac:dyDescent="0.25">
      <c r="A475" s="10" t="s">
        <v>141</v>
      </c>
      <c r="B475" t="s">
        <v>393</v>
      </c>
      <c r="C475">
        <v>125</v>
      </c>
      <c r="D475" t="s">
        <v>208</v>
      </c>
    </row>
    <row r="476" spans="1:4" x14ac:dyDescent="0.25">
      <c r="A476" s="10" t="s">
        <v>141</v>
      </c>
      <c r="B476" t="s">
        <v>394</v>
      </c>
      <c r="C476">
        <v>0.5</v>
      </c>
      <c r="D476" t="s">
        <v>213</v>
      </c>
    </row>
    <row r="477" spans="1:4" x14ac:dyDescent="0.25">
      <c r="A477" s="10" t="s">
        <v>141</v>
      </c>
      <c r="B477" t="s">
        <v>163</v>
      </c>
      <c r="C477">
        <v>0.25</v>
      </c>
      <c r="D477" t="s">
        <v>215</v>
      </c>
    </row>
    <row r="478" spans="1:4" x14ac:dyDescent="0.25">
      <c r="A478" s="10" t="s">
        <v>141</v>
      </c>
      <c r="B478" t="s">
        <v>58</v>
      </c>
      <c r="C478">
        <v>1</v>
      </c>
      <c r="D478" t="s">
        <v>215</v>
      </c>
    </row>
    <row r="480" spans="1:4" x14ac:dyDescent="0.25">
      <c r="A480" s="1" t="s">
        <v>17</v>
      </c>
      <c r="B480" t="s">
        <v>120</v>
      </c>
      <c r="C480">
        <v>75</v>
      </c>
      <c r="D480" t="s">
        <v>208</v>
      </c>
    </row>
    <row r="481" spans="1:4" x14ac:dyDescent="0.25">
      <c r="A481" s="10" t="s">
        <v>17</v>
      </c>
      <c r="B481" t="s">
        <v>78</v>
      </c>
      <c r="C481">
        <v>100</v>
      </c>
      <c r="D481" t="s">
        <v>208</v>
      </c>
    </row>
    <row r="482" spans="1:4" x14ac:dyDescent="0.25">
      <c r="A482" s="10" t="s">
        <v>17</v>
      </c>
      <c r="B482" t="s">
        <v>61</v>
      </c>
      <c r="C482">
        <v>50</v>
      </c>
      <c r="D482" t="s">
        <v>208</v>
      </c>
    </row>
    <row r="483" spans="1:4" x14ac:dyDescent="0.25">
      <c r="A483" s="10" t="s">
        <v>17</v>
      </c>
      <c r="B483" t="s">
        <v>40</v>
      </c>
      <c r="C483">
        <v>50</v>
      </c>
      <c r="D483" t="s">
        <v>208</v>
      </c>
    </row>
    <row r="484" spans="1:4" x14ac:dyDescent="0.25">
      <c r="A484" s="10" t="s">
        <v>17</v>
      </c>
      <c r="B484" t="s">
        <v>23</v>
      </c>
      <c r="C484">
        <v>50</v>
      </c>
      <c r="D484" t="s">
        <v>208</v>
      </c>
    </row>
    <row r="485" spans="1:4" x14ac:dyDescent="0.25">
      <c r="A485" s="10" t="s">
        <v>17</v>
      </c>
      <c r="B485" t="s">
        <v>45</v>
      </c>
      <c r="C485">
        <v>1</v>
      </c>
      <c r="D485" t="s">
        <v>215</v>
      </c>
    </row>
    <row r="486" spans="1:4" x14ac:dyDescent="0.25">
      <c r="A486" s="10" t="s">
        <v>17</v>
      </c>
      <c r="B486" t="s">
        <v>58</v>
      </c>
      <c r="C486">
        <v>1</v>
      </c>
      <c r="D486" t="s">
        <v>215</v>
      </c>
    </row>
    <row r="487" spans="1:4" x14ac:dyDescent="0.25">
      <c r="A487" s="10" t="s">
        <v>17</v>
      </c>
      <c r="B487" t="s">
        <v>118</v>
      </c>
      <c r="C487">
        <v>0.5</v>
      </c>
      <c r="D487" t="s">
        <v>213</v>
      </c>
    </row>
    <row r="489" spans="1:4" x14ac:dyDescent="0.25">
      <c r="A489" s="1" t="s">
        <v>31</v>
      </c>
      <c r="B489" t="s">
        <v>112</v>
      </c>
      <c r="C489">
        <v>0.5</v>
      </c>
      <c r="D489" t="s">
        <v>226</v>
      </c>
    </row>
    <row r="490" spans="1:4" x14ac:dyDescent="0.25">
      <c r="A490" s="10" t="s">
        <v>31</v>
      </c>
      <c r="B490" t="s">
        <v>117</v>
      </c>
      <c r="C490">
        <v>0.5</v>
      </c>
      <c r="D490" t="s">
        <v>213</v>
      </c>
    </row>
    <row r="491" spans="1:4" x14ac:dyDescent="0.25">
      <c r="A491" s="10" t="s">
        <v>31</v>
      </c>
      <c r="B491" t="s">
        <v>106</v>
      </c>
      <c r="C491">
        <v>0.25</v>
      </c>
      <c r="D491" t="s">
        <v>213</v>
      </c>
    </row>
    <row r="492" spans="1:4" x14ac:dyDescent="0.25">
      <c r="A492" s="10" t="s">
        <v>31</v>
      </c>
      <c r="B492" t="s">
        <v>531</v>
      </c>
      <c r="C492">
        <v>187.5</v>
      </c>
      <c r="D492" t="s">
        <v>208</v>
      </c>
    </row>
    <row r="493" spans="1:4" x14ac:dyDescent="0.25">
      <c r="A493" s="10" t="s">
        <v>31</v>
      </c>
      <c r="B493" t="s">
        <v>13</v>
      </c>
      <c r="C493">
        <v>125</v>
      </c>
      <c r="D493" t="s">
        <v>208</v>
      </c>
    </row>
    <row r="494" spans="1:4" x14ac:dyDescent="0.25">
      <c r="A494" s="10" t="s">
        <v>31</v>
      </c>
      <c r="B494" t="s">
        <v>28</v>
      </c>
      <c r="C494">
        <v>62.5</v>
      </c>
      <c r="D494" t="s">
        <v>208</v>
      </c>
    </row>
    <row r="495" spans="1:4" x14ac:dyDescent="0.25">
      <c r="A495" s="10" t="s">
        <v>31</v>
      </c>
      <c r="B495" t="s">
        <v>128</v>
      </c>
      <c r="C495">
        <v>4</v>
      </c>
      <c r="D495" t="s">
        <v>208</v>
      </c>
    </row>
    <row r="496" spans="1:4" x14ac:dyDescent="0.25">
      <c r="A496" s="10" t="s">
        <v>31</v>
      </c>
      <c r="B496" t="s">
        <v>108</v>
      </c>
      <c r="C496">
        <v>62.5</v>
      </c>
      <c r="D496" t="s">
        <v>208</v>
      </c>
    </row>
    <row r="498" spans="1:4" x14ac:dyDescent="0.25">
      <c r="A498" s="1" t="s">
        <v>142</v>
      </c>
      <c r="B498" t="s">
        <v>45</v>
      </c>
      <c r="C498">
        <v>0.5</v>
      </c>
      <c r="D498" t="s">
        <v>215</v>
      </c>
    </row>
    <row r="499" spans="1:4" x14ac:dyDescent="0.25">
      <c r="A499" s="10" t="s">
        <v>142</v>
      </c>
      <c r="B499" t="s">
        <v>112</v>
      </c>
      <c r="C499">
        <v>1</v>
      </c>
      <c r="D499" t="s">
        <v>226</v>
      </c>
    </row>
    <row r="500" spans="1:4" x14ac:dyDescent="0.25">
      <c r="A500" s="10" t="s">
        <v>142</v>
      </c>
      <c r="B500" t="s">
        <v>395</v>
      </c>
      <c r="C500">
        <v>0.5</v>
      </c>
      <c r="D500" t="s">
        <v>215</v>
      </c>
    </row>
    <row r="501" spans="1:4" x14ac:dyDescent="0.25">
      <c r="A501" s="10" t="s">
        <v>142</v>
      </c>
      <c r="B501" t="s">
        <v>36</v>
      </c>
      <c r="C501">
        <v>0.25</v>
      </c>
      <c r="D501" t="s">
        <v>215</v>
      </c>
    </row>
    <row r="502" spans="1:4" x14ac:dyDescent="0.25">
      <c r="A502" s="10" t="s">
        <v>142</v>
      </c>
      <c r="B502" t="s">
        <v>83</v>
      </c>
      <c r="C502">
        <v>0.5</v>
      </c>
      <c r="D502" t="s">
        <v>287</v>
      </c>
    </row>
    <row r="503" spans="1:4" x14ac:dyDescent="0.25">
      <c r="A503" s="10" t="s">
        <v>142</v>
      </c>
      <c r="B503" t="s">
        <v>396</v>
      </c>
      <c r="C503">
        <v>0.5</v>
      </c>
      <c r="D503" t="s">
        <v>213</v>
      </c>
    </row>
    <row r="504" spans="1:4" x14ac:dyDescent="0.25">
      <c r="A504" s="10" t="s">
        <v>142</v>
      </c>
      <c r="B504" t="s">
        <v>58</v>
      </c>
      <c r="C504">
        <v>1.5</v>
      </c>
      <c r="D504" t="s">
        <v>215</v>
      </c>
    </row>
    <row r="505" spans="1:4" x14ac:dyDescent="0.25">
      <c r="A505" s="10" t="s">
        <v>142</v>
      </c>
      <c r="B505" t="s">
        <v>397</v>
      </c>
      <c r="C505">
        <v>2</v>
      </c>
      <c r="D505" t="s">
        <v>218</v>
      </c>
    </row>
    <row r="506" spans="1:4" x14ac:dyDescent="0.25">
      <c r="A506" s="10" t="s">
        <v>142</v>
      </c>
      <c r="B506" t="s">
        <v>310</v>
      </c>
      <c r="C506">
        <v>50</v>
      </c>
      <c r="D506" t="s">
        <v>208</v>
      </c>
    </row>
    <row r="507" spans="1:4" x14ac:dyDescent="0.25">
      <c r="A507" s="10" t="s">
        <v>142</v>
      </c>
      <c r="B507" t="s">
        <v>118</v>
      </c>
      <c r="C507">
        <v>1</v>
      </c>
      <c r="D507" t="s">
        <v>213</v>
      </c>
    </row>
    <row r="508" spans="1:4" x14ac:dyDescent="0.25">
      <c r="A508" s="10" t="s">
        <v>142</v>
      </c>
      <c r="B508" t="s">
        <v>398</v>
      </c>
      <c r="C508">
        <v>0.25</v>
      </c>
      <c r="D508" t="s">
        <v>399</v>
      </c>
    </row>
    <row r="509" spans="1:4" x14ac:dyDescent="0.25">
      <c r="A509" s="10" t="s">
        <v>142</v>
      </c>
      <c r="B509" t="s">
        <v>400</v>
      </c>
      <c r="C509">
        <v>1</v>
      </c>
      <c r="D509" t="s">
        <v>215</v>
      </c>
    </row>
    <row r="511" spans="1:4" x14ac:dyDescent="0.25">
      <c r="A511" s="1" t="s">
        <v>145</v>
      </c>
      <c r="B511" t="s">
        <v>118</v>
      </c>
      <c r="C511">
        <v>0.25</v>
      </c>
      <c r="D511" t="s">
        <v>213</v>
      </c>
    </row>
    <row r="512" spans="1:4" x14ac:dyDescent="0.25">
      <c r="A512" s="10" t="s">
        <v>145</v>
      </c>
      <c r="B512" t="s">
        <v>401</v>
      </c>
      <c r="C512">
        <v>50</v>
      </c>
      <c r="D512" t="s">
        <v>208</v>
      </c>
    </row>
    <row r="513" spans="1:4" x14ac:dyDescent="0.25">
      <c r="A513" s="10" t="s">
        <v>145</v>
      </c>
      <c r="B513" t="s">
        <v>402</v>
      </c>
      <c r="C513">
        <v>75</v>
      </c>
      <c r="D513" t="s">
        <v>208</v>
      </c>
    </row>
    <row r="514" spans="1:4" x14ac:dyDescent="0.25">
      <c r="A514" s="10" t="s">
        <v>145</v>
      </c>
      <c r="B514" t="s">
        <v>58</v>
      </c>
      <c r="C514">
        <v>1</v>
      </c>
      <c r="D514" t="s">
        <v>215</v>
      </c>
    </row>
    <row r="515" spans="1:4" x14ac:dyDescent="0.25">
      <c r="A515" s="10" t="s">
        <v>145</v>
      </c>
      <c r="B515" t="s">
        <v>357</v>
      </c>
      <c r="C515">
        <v>100</v>
      </c>
      <c r="D515" t="s">
        <v>208</v>
      </c>
    </row>
    <row r="516" spans="1:4" x14ac:dyDescent="0.25">
      <c r="A516" s="10" t="s">
        <v>145</v>
      </c>
      <c r="B516" t="s">
        <v>403</v>
      </c>
      <c r="C516">
        <v>25</v>
      </c>
      <c r="D516" t="s">
        <v>208</v>
      </c>
    </row>
    <row r="517" spans="1:4" x14ac:dyDescent="0.25">
      <c r="A517" s="10" t="s">
        <v>145</v>
      </c>
      <c r="B517" t="s">
        <v>404</v>
      </c>
      <c r="C517">
        <v>0.5</v>
      </c>
      <c r="D517" t="s">
        <v>256</v>
      </c>
    </row>
    <row r="519" spans="1:4" x14ac:dyDescent="0.25">
      <c r="A519" s="1" t="s">
        <v>151</v>
      </c>
      <c r="B519" t="s">
        <v>380</v>
      </c>
      <c r="C519">
        <v>0.25</v>
      </c>
      <c r="D519" t="s">
        <v>405</v>
      </c>
    </row>
    <row r="520" spans="1:4" x14ac:dyDescent="0.25">
      <c r="A520" s="10" t="s">
        <v>151</v>
      </c>
      <c r="B520" t="s">
        <v>83</v>
      </c>
      <c r="C520">
        <v>0.25</v>
      </c>
      <c r="D520" t="s">
        <v>287</v>
      </c>
    </row>
    <row r="521" spans="1:4" x14ac:dyDescent="0.25">
      <c r="A521" s="10" t="s">
        <v>151</v>
      </c>
      <c r="B521" t="s">
        <v>406</v>
      </c>
      <c r="C521">
        <v>0.25</v>
      </c>
      <c r="D521" t="s">
        <v>281</v>
      </c>
    </row>
    <row r="522" spans="1:4" x14ac:dyDescent="0.25">
      <c r="A522" s="10" t="s">
        <v>151</v>
      </c>
      <c r="B522" t="s">
        <v>100</v>
      </c>
      <c r="C522">
        <v>0.5</v>
      </c>
      <c r="D522" t="s">
        <v>215</v>
      </c>
    </row>
    <row r="523" spans="1:4" x14ac:dyDescent="0.25">
      <c r="A523" s="10" t="s">
        <v>151</v>
      </c>
      <c r="B523" t="s">
        <v>45</v>
      </c>
      <c r="C523">
        <v>0.5</v>
      </c>
      <c r="D523" t="s">
        <v>215</v>
      </c>
    </row>
    <row r="524" spans="1:4" x14ac:dyDescent="0.25">
      <c r="A524" s="10" t="s">
        <v>151</v>
      </c>
      <c r="B524" t="s">
        <v>112</v>
      </c>
      <c r="C524">
        <v>1</v>
      </c>
      <c r="D524" t="s">
        <v>226</v>
      </c>
    </row>
    <row r="525" spans="1:4" x14ac:dyDescent="0.25">
      <c r="A525" s="10" t="s">
        <v>151</v>
      </c>
      <c r="B525" t="s">
        <v>227</v>
      </c>
      <c r="C525">
        <v>100</v>
      </c>
      <c r="D525" t="s">
        <v>208</v>
      </c>
    </row>
    <row r="526" spans="1:4" x14ac:dyDescent="0.25">
      <c r="A526" s="10" t="s">
        <v>151</v>
      </c>
      <c r="B526" t="s">
        <v>407</v>
      </c>
      <c r="C526">
        <v>50</v>
      </c>
      <c r="D526" t="s">
        <v>208</v>
      </c>
    </row>
    <row r="527" spans="1:4" x14ac:dyDescent="0.25">
      <c r="A527" s="10" t="s">
        <v>151</v>
      </c>
      <c r="B527" t="s">
        <v>118</v>
      </c>
      <c r="C527">
        <v>1</v>
      </c>
      <c r="D527" t="s">
        <v>213</v>
      </c>
    </row>
    <row r="528" spans="1:4" x14ac:dyDescent="0.25">
      <c r="A528" s="10" t="s">
        <v>151</v>
      </c>
      <c r="B528" t="s">
        <v>408</v>
      </c>
      <c r="C528">
        <v>1</v>
      </c>
      <c r="D528" t="s">
        <v>213</v>
      </c>
    </row>
    <row r="529" spans="1:4" x14ac:dyDescent="0.25">
      <c r="A529" s="10" t="s">
        <v>151</v>
      </c>
      <c r="B529" t="s">
        <v>333</v>
      </c>
      <c r="C529">
        <v>25</v>
      </c>
      <c r="D529" t="s">
        <v>208</v>
      </c>
    </row>
    <row r="531" spans="1:4" x14ac:dyDescent="0.25">
      <c r="A531" s="1" t="s">
        <v>153</v>
      </c>
      <c r="B531" t="s">
        <v>409</v>
      </c>
      <c r="C531">
        <v>0.25</v>
      </c>
      <c r="D531" t="s">
        <v>410</v>
      </c>
    </row>
    <row r="532" spans="1:4" x14ac:dyDescent="0.25">
      <c r="A532" s="10" t="s">
        <v>153</v>
      </c>
      <c r="B532" t="s">
        <v>182</v>
      </c>
      <c r="C532">
        <v>0.5</v>
      </c>
      <c r="D532" t="s">
        <v>215</v>
      </c>
    </row>
    <row r="533" spans="1:4" x14ac:dyDescent="0.25">
      <c r="A533" s="10" t="s">
        <v>153</v>
      </c>
      <c r="B533" t="s">
        <v>411</v>
      </c>
      <c r="C533">
        <v>0.25</v>
      </c>
      <c r="D533" t="s">
        <v>410</v>
      </c>
    </row>
    <row r="534" spans="1:4" x14ac:dyDescent="0.25">
      <c r="A534" s="10" t="s">
        <v>153</v>
      </c>
      <c r="B534" t="s">
        <v>412</v>
      </c>
      <c r="C534">
        <v>0.375</v>
      </c>
      <c r="D534" t="s">
        <v>213</v>
      </c>
    </row>
    <row r="535" spans="1:4" x14ac:dyDescent="0.25">
      <c r="A535" s="10" t="s">
        <v>153</v>
      </c>
      <c r="B535" t="s">
        <v>118</v>
      </c>
      <c r="C535">
        <v>1</v>
      </c>
      <c r="D535" t="s">
        <v>213</v>
      </c>
    </row>
    <row r="536" spans="1:4" x14ac:dyDescent="0.25">
      <c r="A536" s="10" t="s">
        <v>153</v>
      </c>
      <c r="B536" t="s">
        <v>225</v>
      </c>
      <c r="C536">
        <v>100</v>
      </c>
      <c r="D536" t="s">
        <v>208</v>
      </c>
    </row>
    <row r="537" spans="1:4" x14ac:dyDescent="0.25">
      <c r="A537" s="10" t="s">
        <v>153</v>
      </c>
      <c r="B537" t="s">
        <v>42</v>
      </c>
      <c r="C537">
        <v>1</v>
      </c>
      <c r="D537" t="s">
        <v>215</v>
      </c>
    </row>
    <row r="538" spans="1:4" x14ac:dyDescent="0.25">
      <c r="A538" s="10" t="s">
        <v>153</v>
      </c>
      <c r="B538" t="s">
        <v>413</v>
      </c>
      <c r="C538">
        <v>1.5</v>
      </c>
      <c r="D538" t="s">
        <v>208</v>
      </c>
    </row>
    <row r="539" spans="1:4" x14ac:dyDescent="0.25">
      <c r="A539" s="10" t="s">
        <v>153</v>
      </c>
      <c r="B539" t="s">
        <v>414</v>
      </c>
      <c r="C539">
        <v>50</v>
      </c>
      <c r="D539" t="s">
        <v>230</v>
      </c>
    </row>
    <row r="541" spans="1:4" x14ac:dyDescent="0.25">
      <c r="A541" s="1" t="s">
        <v>11</v>
      </c>
      <c r="B541" t="s">
        <v>42</v>
      </c>
      <c r="C541">
        <v>250</v>
      </c>
      <c r="D541" t="s">
        <v>208</v>
      </c>
    </row>
    <row r="542" spans="1:4" x14ac:dyDescent="0.25">
      <c r="A542" s="10" t="s">
        <v>11</v>
      </c>
      <c r="B542" t="s">
        <v>124</v>
      </c>
      <c r="C542">
        <v>25</v>
      </c>
      <c r="D542" t="s">
        <v>208</v>
      </c>
    </row>
    <row r="543" spans="1:4" x14ac:dyDescent="0.25">
      <c r="A543" s="10" t="s">
        <v>11</v>
      </c>
      <c r="B543" t="s">
        <v>108</v>
      </c>
      <c r="C543">
        <v>100</v>
      </c>
      <c r="D543" t="s">
        <v>208</v>
      </c>
    </row>
    <row r="544" spans="1:4" x14ac:dyDescent="0.25">
      <c r="A544" s="10" t="s">
        <v>11</v>
      </c>
      <c r="B544" t="s">
        <v>45</v>
      </c>
      <c r="C544">
        <v>0.5</v>
      </c>
      <c r="D544" t="s">
        <v>215</v>
      </c>
    </row>
    <row r="545" spans="1:4" x14ac:dyDescent="0.25">
      <c r="A545" s="10" t="s">
        <v>11</v>
      </c>
      <c r="B545" t="s">
        <v>112</v>
      </c>
      <c r="C545">
        <v>0.5</v>
      </c>
      <c r="D545" t="s">
        <v>226</v>
      </c>
    </row>
    <row r="546" spans="1:4" x14ac:dyDescent="0.25">
      <c r="A546" s="10" t="s">
        <v>11</v>
      </c>
      <c r="B546" t="s">
        <v>100</v>
      </c>
      <c r="C546">
        <v>0.25</v>
      </c>
      <c r="D546" t="s">
        <v>215</v>
      </c>
    </row>
    <row r="547" spans="1:4" x14ac:dyDescent="0.25">
      <c r="A547" s="10" t="s">
        <v>11</v>
      </c>
      <c r="B547" t="s">
        <v>115</v>
      </c>
      <c r="C547">
        <v>0.5</v>
      </c>
      <c r="D547" t="s">
        <v>215</v>
      </c>
    </row>
    <row r="548" spans="1:4" x14ac:dyDescent="0.25">
      <c r="A548" s="10" t="s">
        <v>11</v>
      </c>
      <c r="B548" t="s">
        <v>87</v>
      </c>
      <c r="C548">
        <v>0.5</v>
      </c>
      <c r="D548" t="s">
        <v>288</v>
      </c>
    </row>
    <row r="549" spans="1:4" x14ac:dyDescent="0.25">
      <c r="A549" s="10" t="s">
        <v>11</v>
      </c>
      <c r="B549" t="s">
        <v>80</v>
      </c>
      <c r="C549">
        <v>0.5</v>
      </c>
      <c r="D549" t="s">
        <v>215</v>
      </c>
    </row>
    <row r="551" spans="1:4" x14ac:dyDescent="0.25">
      <c r="A551" s="1" t="s">
        <v>156</v>
      </c>
      <c r="B551" t="s">
        <v>312</v>
      </c>
      <c r="C551">
        <v>75</v>
      </c>
      <c r="D551" t="s">
        <v>208</v>
      </c>
    </row>
    <row r="552" spans="1:4" x14ac:dyDescent="0.25">
      <c r="A552" s="10" t="s">
        <v>156</v>
      </c>
      <c r="B552" t="s">
        <v>182</v>
      </c>
      <c r="C552">
        <v>0.25</v>
      </c>
      <c r="D552" t="s">
        <v>215</v>
      </c>
    </row>
    <row r="553" spans="1:4" x14ac:dyDescent="0.25">
      <c r="A553" s="10" t="s">
        <v>156</v>
      </c>
      <c r="B553" t="s">
        <v>248</v>
      </c>
      <c r="C553">
        <v>0.25</v>
      </c>
      <c r="D553" t="s">
        <v>215</v>
      </c>
    </row>
    <row r="554" spans="1:4" x14ac:dyDescent="0.25">
      <c r="A554" s="10" t="s">
        <v>156</v>
      </c>
      <c r="B554" t="s">
        <v>98</v>
      </c>
      <c r="C554">
        <v>0.25</v>
      </c>
      <c r="D554" t="s">
        <v>215</v>
      </c>
    </row>
    <row r="555" spans="1:4" x14ac:dyDescent="0.25">
      <c r="A555" s="10" t="s">
        <v>156</v>
      </c>
      <c r="B555" t="s">
        <v>220</v>
      </c>
      <c r="C555">
        <v>0.5</v>
      </c>
      <c r="D555" t="s">
        <v>213</v>
      </c>
    </row>
    <row r="556" spans="1:4" x14ac:dyDescent="0.25">
      <c r="A556" s="10" t="s">
        <v>156</v>
      </c>
      <c r="B556" t="s">
        <v>236</v>
      </c>
      <c r="C556">
        <v>30</v>
      </c>
      <c r="D556" t="s">
        <v>230</v>
      </c>
    </row>
    <row r="557" spans="1:4" x14ac:dyDescent="0.25">
      <c r="A557" s="10" t="s">
        <v>156</v>
      </c>
      <c r="B557" t="s">
        <v>415</v>
      </c>
      <c r="C557">
        <v>2.5</v>
      </c>
      <c r="D557" t="s">
        <v>208</v>
      </c>
    </row>
    <row r="558" spans="1:4" x14ac:dyDescent="0.25">
      <c r="A558" s="10" t="s">
        <v>156</v>
      </c>
      <c r="B558" t="s">
        <v>160</v>
      </c>
      <c r="C558">
        <v>0.25</v>
      </c>
      <c r="D558" t="s">
        <v>215</v>
      </c>
    </row>
    <row r="559" spans="1:4" x14ac:dyDescent="0.25">
      <c r="A559" s="10" t="s">
        <v>156</v>
      </c>
      <c r="B559" t="s">
        <v>416</v>
      </c>
      <c r="C559">
        <v>0.25</v>
      </c>
      <c r="D559" t="s">
        <v>215</v>
      </c>
    </row>
    <row r="560" spans="1:4" x14ac:dyDescent="0.25">
      <c r="A560" s="10" t="s">
        <v>156</v>
      </c>
      <c r="B560" t="s">
        <v>196</v>
      </c>
      <c r="C560">
        <v>2</v>
      </c>
      <c r="D560" t="s">
        <v>215</v>
      </c>
    </row>
    <row r="561" spans="1:4" x14ac:dyDescent="0.25">
      <c r="A561" s="10" t="s">
        <v>156</v>
      </c>
      <c r="B561" t="s">
        <v>417</v>
      </c>
      <c r="C561">
        <v>25</v>
      </c>
      <c r="D561" t="s">
        <v>208</v>
      </c>
    </row>
    <row r="563" spans="1:4" x14ac:dyDescent="0.25">
      <c r="A563" s="1" t="s">
        <v>157</v>
      </c>
      <c r="B563" t="s">
        <v>118</v>
      </c>
      <c r="C563">
        <v>0.5</v>
      </c>
      <c r="D563" t="s">
        <v>213</v>
      </c>
    </row>
    <row r="564" spans="1:4" x14ac:dyDescent="0.25">
      <c r="A564" s="10" t="s">
        <v>157</v>
      </c>
      <c r="B564" t="s">
        <v>418</v>
      </c>
      <c r="C564">
        <v>1</v>
      </c>
      <c r="D564" t="s">
        <v>215</v>
      </c>
    </row>
    <row r="565" spans="1:4" x14ac:dyDescent="0.25">
      <c r="A565" s="10" t="s">
        <v>157</v>
      </c>
      <c r="B565" t="s">
        <v>419</v>
      </c>
      <c r="C565">
        <v>0.25</v>
      </c>
      <c r="D565" t="s">
        <v>359</v>
      </c>
    </row>
    <row r="566" spans="1:4" x14ac:dyDescent="0.25">
      <c r="A566" s="10" t="s">
        <v>157</v>
      </c>
      <c r="B566" t="s">
        <v>220</v>
      </c>
      <c r="C566">
        <v>1.5</v>
      </c>
      <c r="D566" t="s">
        <v>213</v>
      </c>
    </row>
    <row r="567" spans="1:4" x14ac:dyDescent="0.25">
      <c r="A567" s="10" t="s">
        <v>157</v>
      </c>
      <c r="B567" t="s">
        <v>420</v>
      </c>
      <c r="C567">
        <v>0.25</v>
      </c>
      <c r="D567" t="s">
        <v>215</v>
      </c>
    </row>
    <row r="568" spans="1:4" x14ac:dyDescent="0.25">
      <c r="A568" s="10" t="s">
        <v>157</v>
      </c>
      <c r="B568" t="s">
        <v>196</v>
      </c>
      <c r="C568">
        <v>2</v>
      </c>
      <c r="D568" t="s">
        <v>215</v>
      </c>
    </row>
    <row r="569" spans="1:4" x14ac:dyDescent="0.25">
      <c r="A569" s="10" t="s">
        <v>157</v>
      </c>
      <c r="B569" t="s">
        <v>38</v>
      </c>
      <c r="C569">
        <v>0.5</v>
      </c>
      <c r="D569" t="s">
        <v>215</v>
      </c>
    </row>
    <row r="570" spans="1:4" x14ac:dyDescent="0.25">
      <c r="A570" s="10" t="s">
        <v>157</v>
      </c>
      <c r="B570" t="s">
        <v>98</v>
      </c>
      <c r="C570">
        <v>1</v>
      </c>
      <c r="D570" t="s">
        <v>215</v>
      </c>
    </row>
    <row r="571" spans="1:4" x14ac:dyDescent="0.25">
      <c r="A571" s="10" t="s">
        <v>157</v>
      </c>
      <c r="B571" t="s">
        <v>417</v>
      </c>
      <c r="C571">
        <v>25</v>
      </c>
      <c r="D571" t="s">
        <v>208</v>
      </c>
    </row>
    <row r="572" spans="1:4" x14ac:dyDescent="0.25">
      <c r="A572" s="10" t="s">
        <v>157</v>
      </c>
      <c r="B572" t="s">
        <v>228</v>
      </c>
      <c r="C572">
        <v>0.5</v>
      </c>
      <c r="D572" t="s">
        <v>215</v>
      </c>
    </row>
    <row r="574" spans="1:4" x14ac:dyDescent="0.25">
      <c r="A574" s="1" t="s">
        <v>97</v>
      </c>
      <c r="B574" t="s">
        <v>165</v>
      </c>
      <c r="C574">
        <v>0.5</v>
      </c>
      <c r="D574" t="s">
        <v>215</v>
      </c>
    </row>
    <row r="575" spans="1:4" x14ac:dyDescent="0.25">
      <c r="A575" s="10" t="s">
        <v>97</v>
      </c>
      <c r="B575" t="s">
        <v>160</v>
      </c>
      <c r="C575">
        <v>0.5</v>
      </c>
      <c r="D575" t="s">
        <v>215</v>
      </c>
    </row>
    <row r="576" spans="1:4" x14ac:dyDescent="0.25">
      <c r="A576" s="10" t="s">
        <v>97</v>
      </c>
      <c r="B576" t="s">
        <v>312</v>
      </c>
      <c r="C576">
        <v>0.5</v>
      </c>
      <c r="D576" t="s">
        <v>215</v>
      </c>
    </row>
    <row r="577" spans="1:4" x14ac:dyDescent="0.25">
      <c r="A577" s="10" t="s">
        <v>97</v>
      </c>
      <c r="B577" t="s">
        <v>313</v>
      </c>
      <c r="C577">
        <v>0.5</v>
      </c>
      <c r="D577" t="s">
        <v>215</v>
      </c>
    </row>
    <row r="578" spans="1:4" x14ac:dyDescent="0.25">
      <c r="A578" s="10" t="s">
        <v>97</v>
      </c>
      <c r="B578" t="s">
        <v>98</v>
      </c>
      <c r="C578">
        <v>1</v>
      </c>
      <c r="D578" t="s">
        <v>215</v>
      </c>
    </row>
    <row r="579" spans="1:4" x14ac:dyDescent="0.25">
      <c r="A579" s="10" t="s">
        <v>97</v>
      </c>
      <c r="B579" t="s">
        <v>96</v>
      </c>
      <c r="C579">
        <v>0.5</v>
      </c>
      <c r="D579" t="s">
        <v>359</v>
      </c>
    </row>
    <row r="580" spans="1:4" x14ac:dyDescent="0.25">
      <c r="A580" s="10" t="s">
        <v>97</v>
      </c>
      <c r="B580" t="s">
        <v>252</v>
      </c>
      <c r="C580">
        <v>0.25</v>
      </c>
      <c r="D580" t="s">
        <v>360</v>
      </c>
    </row>
    <row r="581" spans="1:4" x14ac:dyDescent="0.25">
      <c r="A581" s="10" t="s">
        <v>97</v>
      </c>
      <c r="B581" t="s">
        <v>421</v>
      </c>
      <c r="C581">
        <v>0.25</v>
      </c>
      <c r="D581" t="s">
        <v>360</v>
      </c>
    </row>
    <row r="582" spans="1:4" x14ac:dyDescent="0.25">
      <c r="A582" s="10" t="s">
        <v>97</v>
      </c>
      <c r="B582" t="s">
        <v>307</v>
      </c>
      <c r="C582">
        <v>0.25</v>
      </c>
      <c r="D582" t="s">
        <v>215</v>
      </c>
    </row>
    <row r="583" spans="1:4" x14ac:dyDescent="0.25">
      <c r="A583" s="10" t="s">
        <v>97</v>
      </c>
      <c r="B583" t="s">
        <v>118</v>
      </c>
      <c r="C583">
        <v>1</v>
      </c>
      <c r="D583" t="s">
        <v>213</v>
      </c>
    </row>
    <row r="584" spans="1:4" x14ac:dyDescent="0.25">
      <c r="A584" s="10" t="s">
        <v>97</v>
      </c>
      <c r="B584" t="s">
        <v>304</v>
      </c>
      <c r="C584">
        <v>1</v>
      </c>
      <c r="D584" t="s">
        <v>218</v>
      </c>
    </row>
    <row r="586" spans="1:4" x14ac:dyDescent="0.25">
      <c r="A586" s="1" t="s">
        <v>102</v>
      </c>
      <c r="B586" t="s">
        <v>312</v>
      </c>
      <c r="C586">
        <v>0.25</v>
      </c>
      <c r="D586" t="s">
        <v>215</v>
      </c>
    </row>
    <row r="587" spans="1:4" x14ac:dyDescent="0.25">
      <c r="A587" s="10" t="s">
        <v>102</v>
      </c>
      <c r="B587" t="s">
        <v>160</v>
      </c>
      <c r="C587">
        <v>0.25</v>
      </c>
      <c r="D587" t="s">
        <v>215</v>
      </c>
    </row>
    <row r="588" spans="1:4" x14ac:dyDescent="0.25">
      <c r="A588" s="10" t="s">
        <v>102</v>
      </c>
      <c r="B588" t="s">
        <v>228</v>
      </c>
      <c r="C588">
        <v>0.5</v>
      </c>
      <c r="D588" t="s">
        <v>215</v>
      </c>
    </row>
    <row r="589" spans="1:4" x14ac:dyDescent="0.25">
      <c r="A589" s="10" t="s">
        <v>102</v>
      </c>
      <c r="B589" t="s">
        <v>182</v>
      </c>
      <c r="C589">
        <v>0.25</v>
      </c>
      <c r="D589" t="s">
        <v>215</v>
      </c>
    </row>
    <row r="590" spans="1:4" x14ac:dyDescent="0.25">
      <c r="A590" s="10" t="s">
        <v>102</v>
      </c>
      <c r="B590" t="s">
        <v>71</v>
      </c>
      <c r="C590">
        <v>15</v>
      </c>
      <c r="D590" t="s">
        <v>208</v>
      </c>
    </row>
    <row r="591" spans="1:4" x14ac:dyDescent="0.25">
      <c r="A591" s="10" t="s">
        <v>102</v>
      </c>
      <c r="B591" t="s">
        <v>422</v>
      </c>
      <c r="C591">
        <v>3</v>
      </c>
      <c r="D591" t="s">
        <v>215</v>
      </c>
    </row>
    <row r="592" spans="1:4" x14ac:dyDescent="0.25">
      <c r="A592" s="10" t="s">
        <v>102</v>
      </c>
      <c r="B592" t="s">
        <v>371</v>
      </c>
      <c r="C592">
        <v>25</v>
      </c>
      <c r="D592" t="s">
        <v>230</v>
      </c>
    </row>
    <row r="593" spans="1:4" x14ac:dyDescent="0.25">
      <c r="A593" s="10" t="s">
        <v>102</v>
      </c>
      <c r="B593" t="s">
        <v>220</v>
      </c>
      <c r="C593">
        <v>0.25</v>
      </c>
      <c r="D593" t="s">
        <v>213</v>
      </c>
    </row>
    <row r="594" spans="1:4" x14ac:dyDescent="0.25">
      <c r="A594" s="10" t="s">
        <v>102</v>
      </c>
      <c r="B594" t="s">
        <v>304</v>
      </c>
      <c r="C594">
        <v>0.25</v>
      </c>
      <c r="D594" t="s">
        <v>218</v>
      </c>
    </row>
    <row r="596" spans="1:4" x14ac:dyDescent="0.25">
      <c r="A596" s="1" t="s">
        <v>121</v>
      </c>
      <c r="B596" t="s">
        <v>423</v>
      </c>
      <c r="C596">
        <v>0.5</v>
      </c>
      <c r="D596" t="s">
        <v>215</v>
      </c>
    </row>
    <row r="597" spans="1:4" x14ac:dyDescent="0.25">
      <c r="A597" s="10" t="s">
        <v>121</v>
      </c>
      <c r="B597" t="s">
        <v>118</v>
      </c>
      <c r="C597">
        <v>1</v>
      </c>
      <c r="D597" t="s">
        <v>213</v>
      </c>
    </row>
    <row r="598" spans="1:4" x14ac:dyDescent="0.25">
      <c r="A598" s="10" t="s">
        <v>121</v>
      </c>
      <c r="B598" t="s">
        <v>244</v>
      </c>
      <c r="C598">
        <v>15</v>
      </c>
      <c r="D598" t="s">
        <v>208</v>
      </c>
    </row>
    <row r="599" spans="1:4" x14ac:dyDescent="0.25">
      <c r="A599" s="10" t="s">
        <v>121</v>
      </c>
      <c r="B599" t="s">
        <v>112</v>
      </c>
      <c r="C599">
        <v>0.5</v>
      </c>
      <c r="D599" t="s">
        <v>226</v>
      </c>
    </row>
    <row r="600" spans="1:4" x14ac:dyDescent="0.25">
      <c r="A600" s="10" t="s">
        <v>121</v>
      </c>
      <c r="B600" t="s">
        <v>424</v>
      </c>
      <c r="C600">
        <v>0.5</v>
      </c>
      <c r="D600" t="s">
        <v>215</v>
      </c>
    </row>
    <row r="601" spans="1:4" x14ac:dyDescent="0.25">
      <c r="A601" s="10" t="s">
        <v>121</v>
      </c>
      <c r="B601" t="s">
        <v>182</v>
      </c>
      <c r="C601">
        <v>0.25</v>
      </c>
      <c r="D601" t="s">
        <v>215</v>
      </c>
    </row>
    <row r="602" spans="1:4" x14ac:dyDescent="0.25">
      <c r="A602" s="10" t="s">
        <v>121</v>
      </c>
      <c r="B602" t="s">
        <v>425</v>
      </c>
      <c r="C602">
        <v>1.5</v>
      </c>
      <c r="D602" t="s">
        <v>215</v>
      </c>
    </row>
    <row r="603" spans="1:4" x14ac:dyDescent="0.25">
      <c r="A603" s="10" t="s">
        <v>121</v>
      </c>
      <c r="B603" t="s">
        <v>163</v>
      </c>
      <c r="C603">
        <v>0.25</v>
      </c>
      <c r="D603" t="s">
        <v>215</v>
      </c>
    </row>
    <row r="604" spans="1:4" x14ac:dyDescent="0.25">
      <c r="A604" s="10" t="s">
        <v>121</v>
      </c>
      <c r="B604" t="s">
        <v>532</v>
      </c>
      <c r="C604">
        <v>1</v>
      </c>
      <c r="D604" t="s">
        <v>215</v>
      </c>
    </row>
    <row r="605" spans="1:4" x14ac:dyDescent="0.25">
      <c r="A605" s="10" t="s">
        <v>121</v>
      </c>
      <c r="B605" t="s">
        <v>72</v>
      </c>
      <c r="C605">
        <v>0.5</v>
      </c>
      <c r="D605" t="s">
        <v>426</v>
      </c>
    </row>
    <row r="606" spans="1:4" x14ac:dyDescent="0.25">
      <c r="A606" s="10" t="s">
        <v>121</v>
      </c>
      <c r="B606" t="s">
        <v>333</v>
      </c>
      <c r="C606">
        <v>25</v>
      </c>
      <c r="D606" t="s">
        <v>208</v>
      </c>
    </row>
    <row r="608" spans="1:4" x14ac:dyDescent="0.25">
      <c r="A608" s="1" t="s">
        <v>147</v>
      </c>
      <c r="B608" t="s">
        <v>163</v>
      </c>
      <c r="C608">
        <v>0.25</v>
      </c>
      <c r="D608" t="s">
        <v>215</v>
      </c>
    </row>
    <row r="609" spans="1:4" x14ac:dyDescent="0.25">
      <c r="A609" s="10" t="s">
        <v>147</v>
      </c>
      <c r="B609" t="s">
        <v>228</v>
      </c>
      <c r="C609">
        <v>0.5</v>
      </c>
      <c r="D609" t="s">
        <v>215</v>
      </c>
    </row>
    <row r="610" spans="1:4" x14ac:dyDescent="0.25">
      <c r="A610" s="10" t="s">
        <v>147</v>
      </c>
      <c r="B610" t="s">
        <v>395</v>
      </c>
      <c r="C610">
        <v>0.5</v>
      </c>
      <c r="D610" t="s">
        <v>215</v>
      </c>
    </row>
    <row r="611" spans="1:4" x14ac:dyDescent="0.25">
      <c r="A611" s="10" t="s">
        <v>147</v>
      </c>
      <c r="B611" t="s">
        <v>398</v>
      </c>
      <c r="C611">
        <v>0.25</v>
      </c>
      <c r="D611" t="s">
        <v>399</v>
      </c>
    </row>
    <row r="612" spans="1:4" x14ac:dyDescent="0.25">
      <c r="A612" s="10" t="s">
        <v>147</v>
      </c>
      <c r="B612" t="s">
        <v>98</v>
      </c>
      <c r="C612">
        <v>1</v>
      </c>
      <c r="D612" t="s">
        <v>215</v>
      </c>
    </row>
    <row r="613" spans="1:4" x14ac:dyDescent="0.25">
      <c r="A613" s="10" t="s">
        <v>147</v>
      </c>
      <c r="B613" t="s">
        <v>278</v>
      </c>
      <c r="C613">
        <v>25</v>
      </c>
      <c r="D613" t="s">
        <v>208</v>
      </c>
    </row>
    <row r="614" spans="1:4" x14ac:dyDescent="0.25">
      <c r="A614" s="10" t="s">
        <v>147</v>
      </c>
      <c r="B614" t="s">
        <v>427</v>
      </c>
      <c r="C614">
        <v>0.5</v>
      </c>
      <c r="D614" t="s">
        <v>213</v>
      </c>
    </row>
    <row r="615" spans="1:4" x14ac:dyDescent="0.25">
      <c r="A615" s="10" t="s">
        <v>147</v>
      </c>
      <c r="B615" t="s">
        <v>193</v>
      </c>
      <c r="C615">
        <v>1</v>
      </c>
      <c r="D615" t="s">
        <v>213</v>
      </c>
    </row>
    <row r="616" spans="1:4" x14ac:dyDescent="0.25">
      <c r="A616" s="10" t="s">
        <v>147</v>
      </c>
      <c r="B616" t="s">
        <v>319</v>
      </c>
      <c r="C616">
        <v>0.5</v>
      </c>
      <c r="D616" t="s">
        <v>218</v>
      </c>
    </row>
    <row r="617" spans="1:4" x14ac:dyDescent="0.25">
      <c r="A617" s="10" t="s">
        <v>147</v>
      </c>
      <c r="B617" t="s">
        <v>187</v>
      </c>
      <c r="C617">
        <v>0.5</v>
      </c>
      <c r="D617" t="s">
        <v>218</v>
      </c>
    </row>
    <row r="618" spans="1:4" x14ac:dyDescent="0.25">
      <c r="A618" s="10" t="s">
        <v>147</v>
      </c>
      <c r="B618" t="s">
        <v>216</v>
      </c>
      <c r="C618">
        <v>1</v>
      </c>
      <c r="D618" t="s">
        <v>218</v>
      </c>
    </row>
    <row r="619" spans="1:4" x14ac:dyDescent="0.25">
      <c r="A619" s="10" t="s">
        <v>147</v>
      </c>
      <c r="B619" t="s">
        <v>428</v>
      </c>
      <c r="C619">
        <v>0.5</v>
      </c>
      <c r="D619" t="s">
        <v>429</v>
      </c>
    </row>
    <row r="620" spans="1:4" x14ac:dyDescent="0.25">
      <c r="A620" s="10" t="s">
        <v>147</v>
      </c>
      <c r="B620" t="s">
        <v>112</v>
      </c>
      <c r="C620">
        <v>0.5</v>
      </c>
      <c r="D620" t="s">
        <v>226</v>
      </c>
    </row>
    <row r="621" spans="1:4" x14ac:dyDescent="0.25">
      <c r="A621" s="10" t="s">
        <v>147</v>
      </c>
      <c r="B621" t="s">
        <v>318</v>
      </c>
      <c r="C621">
        <v>0.5</v>
      </c>
      <c r="D621" t="s">
        <v>215</v>
      </c>
    </row>
    <row r="623" spans="1:4" x14ac:dyDescent="0.25">
      <c r="A623" s="1" t="s">
        <v>159</v>
      </c>
      <c r="B623" t="s">
        <v>430</v>
      </c>
      <c r="C623">
        <v>62.5</v>
      </c>
      <c r="D623" t="s">
        <v>208</v>
      </c>
    </row>
    <row r="624" spans="1:4" x14ac:dyDescent="0.25">
      <c r="A624" s="10" t="s">
        <v>159</v>
      </c>
      <c r="B624" t="s">
        <v>98</v>
      </c>
      <c r="C624">
        <v>1</v>
      </c>
      <c r="D624" t="s">
        <v>215</v>
      </c>
    </row>
    <row r="625" spans="1:4" x14ac:dyDescent="0.25">
      <c r="A625" s="10" t="s">
        <v>159</v>
      </c>
      <c r="B625" t="s">
        <v>431</v>
      </c>
      <c r="C625">
        <v>1</v>
      </c>
      <c r="D625" t="s">
        <v>215</v>
      </c>
    </row>
    <row r="626" spans="1:4" x14ac:dyDescent="0.25">
      <c r="A626" s="10" t="s">
        <v>159</v>
      </c>
      <c r="B626" t="s">
        <v>432</v>
      </c>
      <c r="C626">
        <v>25</v>
      </c>
      <c r="D626" t="s">
        <v>208</v>
      </c>
    </row>
    <row r="627" spans="1:4" x14ac:dyDescent="0.25">
      <c r="A627" s="10" t="s">
        <v>159</v>
      </c>
      <c r="B627" t="s">
        <v>307</v>
      </c>
      <c r="C627">
        <v>0.25</v>
      </c>
      <c r="D627" t="s">
        <v>215</v>
      </c>
    </row>
    <row r="628" spans="1:4" x14ac:dyDescent="0.25">
      <c r="A628" s="10" t="s">
        <v>159</v>
      </c>
      <c r="B628" t="s">
        <v>433</v>
      </c>
      <c r="C628">
        <v>42.5</v>
      </c>
      <c r="D628" t="s">
        <v>208</v>
      </c>
    </row>
    <row r="629" spans="1:4" x14ac:dyDescent="0.25">
      <c r="A629" s="10" t="s">
        <v>159</v>
      </c>
      <c r="B629" t="s">
        <v>220</v>
      </c>
      <c r="C629">
        <v>1</v>
      </c>
      <c r="D629" t="s">
        <v>213</v>
      </c>
    </row>
    <row r="630" spans="1:4" x14ac:dyDescent="0.25">
      <c r="A630" s="10" t="s">
        <v>159</v>
      </c>
      <c r="B630" t="s">
        <v>434</v>
      </c>
      <c r="C630">
        <v>62.5</v>
      </c>
      <c r="D630" t="s">
        <v>208</v>
      </c>
    </row>
    <row r="631" spans="1:4" x14ac:dyDescent="0.25">
      <c r="A631" s="10" t="s">
        <v>159</v>
      </c>
      <c r="B631" t="s">
        <v>228</v>
      </c>
      <c r="C631">
        <v>0.5</v>
      </c>
      <c r="D631" t="s">
        <v>215</v>
      </c>
    </row>
    <row r="632" spans="1:4" x14ac:dyDescent="0.25">
      <c r="A632" s="10" t="s">
        <v>159</v>
      </c>
      <c r="B632" t="s">
        <v>435</v>
      </c>
      <c r="C632">
        <v>75</v>
      </c>
      <c r="D632" t="s">
        <v>208</v>
      </c>
    </row>
    <row r="633" spans="1:4" x14ac:dyDescent="0.25">
      <c r="A633" s="10"/>
    </row>
    <row r="634" spans="1:4" x14ac:dyDescent="0.25">
      <c r="A634" s="1" t="s">
        <v>130</v>
      </c>
      <c r="B634" t="s">
        <v>130</v>
      </c>
      <c r="C634">
        <v>250</v>
      </c>
      <c r="D634" t="s">
        <v>208</v>
      </c>
    </row>
    <row r="635" spans="1:4" x14ac:dyDescent="0.25">
      <c r="A635" s="10" t="s">
        <v>130</v>
      </c>
      <c r="B635" t="s">
        <v>191</v>
      </c>
      <c r="C635">
        <v>2</v>
      </c>
      <c r="D635" t="s">
        <v>215</v>
      </c>
    </row>
    <row r="637" spans="1:4" x14ac:dyDescent="0.25">
      <c r="A637" s="1" t="s">
        <v>149</v>
      </c>
      <c r="B637" t="s">
        <v>436</v>
      </c>
      <c r="C637">
        <f>250/4</f>
        <v>62.5</v>
      </c>
      <c r="D637" t="s">
        <v>208</v>
      </c>
    </row>
    <row r="638" spans="1:4" x14ac:dyDescent="0.25">
      <c r="A638" s="10" t="s">
        <v>149</v>
      </c>
      <c r="B638" t="s">
        <v>83</v>
      </c>
      <c r="C638">
        <v>0.25</v>
      </c>
      <c r="D638" t="s">
        <v>287</v>
      </c>
    </row>
    <row r="639" spans="1:4" x14ac:dyDescent="0.25">
      <c r="A639" s="10" t="s">
        <v>149</v>
      </c>
      <c r="B639" t="s">
        <v>36</v>
      </c>
      <c r="C639">
        <v>0.25</v>
      </c>
      <c r="D639" t="s">
        <v>437</v>
      </c>
    </row>
    <row r="640" spans="1:4" x14ac:dyDescent="0.25">
      <c r="A640" s="10" t="s">
        <v>149</v>
      </c>
      <c r="B640" t="s">
        <v>38</v>
      </c>
      <c r="C640">
        <v>1</v>
      </c>
      <c r="D640" t="s">
        <v>437</v>
      </c>
    </row>
    <row r="641" spans="1:4" x14ac:dyDescent="0.25">
      <c r="A641" s="10" t="s">
        <v>149</v>
      </c>
      <c r="B641" t="s">
        <v>45</v>
      </c>
      <c r="C641">
        <v>0.5</v>
      </c>
      <c r="D641" t="s">
        <v>437</v>
      </c>
    </row>
    <row r="642" spans="1:4" x14ac:dyDescent="0.25">
      <c r="A642" s="10" t="s">
        <v>149</v>
      </c>
      <c r="B642" t="s">
        <v>96</v>
      </c>
      <c r="C642">
        <v>5</v>
      </c>
      <c r="D642" t="s">
        <v>208</v>
      </c>
    </row>
    <row r="643" spans="1:4" x14ac:dyDescent="0.25">
      <c r="A643" s="10" t="s">
        <v>149</v>
      </c>
      <c r="B643" t="s">
        <v>210</v>
      </c>
      <c r="C643">
        <v>50</v>
      </c>
      <c r="D643" t="s">
        <v>208</v>
      </c>
    </row>
    <row r="644" spans="1:4" x14ac:dyDescent="0.25">
      <c r="A644" s="10" t="s">
        <v>149</v>
      </c>
      <c r="B644" t="s">
        <v>379</v>
      </c>
      <c r="C644">
        <v>25</v>
      </c>
      <c r="D644" t="s">
        <v>208</v>
      </c>
    </row>
    <row r="646" spans="1:4" x14ac:dyDescent="0.25">
      <c r="A646" s="1" t="s">
        <v>132</v>
      </c>
      <c r="B646" t="s">
        <v>131</v>
      </c>
      <c r="C646">
        <v>150</v>
      </c>
      <c r="D646" t="s">
        <v>208</v>
      </c>
    </row>
    <row r="647" spans="1:4" x14ac:dyDescent="0.25">
      <c r="A647" s="10" t="s">
        <v>132</v>
      </c>
      <c r="B647" t="s">
        <v>177</v>
      </c>
      <c r="C647">
        <v>125</v>
      </c>
      <c r="D647" t="s">
        <v>208</v>
      </c>
    </row>
    <row r="648" spans="1:4" x14ac:dyDescent="0.25">
      <c r="A648" s="10" t="s">
        <v>132</v>
      </c>
      <c r="B648" t="s">
        <v>438</v>
      </c>
      <c r="C648">
        <v>1</v>
      </c>
      <c r="D648" t="s">
        <v>213</v>
      </c>
    </row>
    <row r="649" spans="1:4" x14ac:dyDescent="0.25">
      <c r="A649" s="10" t="s">
        <v>132</v>
      </c>
      <c r="B649" t="s">
        <v>439</v>
      </c>
      <c r="C649">
        <v>1</v>
      </c>
      <c r="D649" t="s">
        <v>215</v>
      </c>
    </row>
    <row r="650" spans="1:4" x14ac:dyDescent="0.25">
      <c r="A650" s="10" t="s">
        <v>132</v>
      </c>
      <c r="B650" t="s">
        <v>40</v>
      </c>
      <c r="C650">
        <v>100</v>
      </c>
      <c r="D650" t="s">
        <v>208</v>
      </c>
    </row>
    <row r="651" spans="1:4" x14ac:dyDescent="0.25">
      <c r="A651" s="10" t="s">
        <v>132</v>
      </c>
      <c r="B651" t="s">
        <v>45</v>
      </c>
      <c r="C651">
        <v>0.5</v>
      </c>
      <c r="D651" t="s">
        <v>215</v>
      </c>
    </row>
    <row r="653" spans="1:4" x14ac:dyDescent="0.25">
      <c r="A653" s="1" t="s">
        <v>150</v>
      </c>
      <c r="B653" t="s">
        <v>436</v>
      </c>
      <c r="C653">
        <v>100</v>
      </c>
      <c r="D653" t="s">
        <v>208</v>
      </c>
    </row>
    <row r="654" spans="1:4" x14ac:dyDescent="0.25">
      <c r="A654" s="10" t="s">
        <v>150</v>
      </c>
      <c r="B654" t="s">
        <v>291</v>
      </c>
      <c r="C654">
        <v>100</v>
      </c>
      <c r="D654" t="s">
        <v>208</v>
      </c>
    </row>
    <row r="655" spans="1:4" x14ac:dyDescent="0.25">
      <c r="A655" s="10" t="s">
        <v>150</v>
      </c>
      <c r="B655" t="s">
        <v>440</v>
      </c>
      <c r="C655">
        <v>65</v>
      </c>
      <c r="D655" t="s">
        <v>208</v>
      </c>
    </row>
    <row r="656" spans="1:4" x14ac:dyDescent="0.25">
      <c r="A656" s="10" t="s">
        <v>150</v>
      </c>
      <c r="B656" t="s">
        <v>257</v>
      </c>
      <c r="C656">
        <v>0.25</v>
      </c>
      <c r="D656" t="s">
        <v>215</v>
      </c>
    </row>
    <row r="657" spans="1:4" x14ac:dyDescent="0.25">
      <c r="A657" s="10" t="s">
        <v>150</v>
      </c>
      <c r="B657" t="s">
        <v>441</v>
      </c>
      <c r="C657">
        <v>2</v>
      </c>
      <c r="D657" t="s">
        <v>215</v>
      </c>
    </row>
    <row r="658" spans="1:4" x14ac:dyDescent="0.25">
      <c r="A658" s="10" t="s">
        <v>150</v>
      </c>
      <c r="B658" t="s">
        <v>442</v>
      </c>
      <c r="C658">
        <v>20</v>
      </c>
      <c r="D658" t="s">
        <v>208</v>
      </c>
    </row>
    <row r="659" spans="1:4" x14ac:dyDescent="0.25">
      <c r="A659" s="10" t="s">
        <v>150</v>
      </c>
      <c r="B659" t="s">
        <v>45</v>
      </c>
      <c r="C659">
        <v>0.5</v>
      </c>
      <c r="D659" t="s">
        <v>215</v>
      </c>
    </row>
    <row r="660" spans="1:4" x14ac:dyDescent="0.25">
      <c r="A660" s="10" t="s">
        <v>150</v>
      </c>
      <c r="B660" t="s">
        <v>112</v>
      </c>
      <c r="C660">
        <v>1</v>
      </c>
      <c r="D660" t="s">
        <v>226</v>
      </c>
    </row>
    <row r="662" spans="1:4" x14ac:dyDescent="0.25">
      <c r="A662" s="1" t="s">
        <v>158</v>
      </c>
      <c r="B662" t="s">
        <v>196</v>
      </c>
      <c r="C662">
        <v>3</v>
      </c>
      <c r="D662" t="s">
        <v>215</v>
      </c>
    </row>
    <row r="663" spans="1:4" x14ac:dyDescent="0.25">
      <c r="A663" s="10" t="s">
        <v>158</v>
      </c>
      <c r="B663" t="s">
        <v>177</v>
      </c>
      <c r="C663">
        <v>125</v>
      </c>
      <c r="D663" t="s">
        <v>208</v>
      </c>
    </row>
    <row r="664" spans="1:4" x14ac:dyDescent="0.25">
      <c r="A664" s="10" t="s">
        <v>158</v>
      </c>
      <c r="B664" t="s">
        <v>38</v>
      </c>
      <c r="C664">
        <v>1</v>
      </c>
      <c r="D664" t="s">
        <v>215</v>
      </c>
    </row>
    <row r="665" spans="1:4" x14ac:dyDescent="0.25">
      <c r="A665" s="10" t="s">
        <v>158</v>
      </c>
      <c r="B665" t="s">
        <v>45</v>
      </c>
      <c r="C665">
        <v>0.5</v>
      </c>
      <c r="D665" t="s">
        <v>215</v>
      </c>
    </row>
    <row r="666" spans="1:4" x14ac:dyDescent="0.25">
      <c r="A666" s="10" t="s">
        <v>158</v>
      </c>
      <c r="B666" t="s">
        <v>186</v>
      </c>
      <c r="C666">
        <v>50</v>
      </c>
      <c r="D666" t="s">
        <v>208</v>
      </c>
    </row>
    <row r="667" spans="1:4" x14ac:dyDescent="0.25">
      <c r="A667" s="10" t="s">
        <v>158</v>
      </c>
      <c r="B667" t="s">
        <v>40</v>
      </c>
      <c r="C667">
        <v>50</v>
      </c>
      <c r="D667" t="s">
        <v>208</v>
      </c>
    </row>
    <row r="668" spans="1:4" x14ac:dyDescent="0.25">
      <c r="A668" s="10" t="s">
        <v>158</v>
      </c>
      <c r="B668" t="s">
        <v>36</v>
      </c>
      <c r="C668">
        <v>0.25</v>
      </c>
      <c r="D668" t="s">
        <v>215</v>
      </c>
    </row>
    <row r="670" spans="1:4" x14ac:dyDescent="0.25">
      <c r="A670" s="1" t="s">
        <v>52</v>
      </c>
      <c r="B670" t="s">
        <v>182</v>
      </c>
      <c r="C670">
        <v>1</v>
      </c>
      <c r="D670" t="s">
        <v>215</v>
      </c>
    </row>
    <row r="671" spans="1:4" x14ac:dyDescent="0.25">
      <c r="A671" s="10" t="s">
        <v>52</v>
      </c>
      <c r="B671" t="s">
        <v>36</v>
      </c>
      <c r="C671">
        <v>0.25</v>
      </c>
      <c r="D671" t="s">
        <v>215</v>
      </c>
    </row>
    <row r="672" spans="1:4" x14ac:dyDescent="0.25">
      <c r="A672" s="10" t="s">
        <v>52</v>
      </c>
      <c r="B672" t="s">
        <v>118</v>
      </c>
      <c r="C672">
        <v>1.25</v>
      </c>
      <c r="D672" t="s">
        <v>213</v>
      </c>
    </row>
    <row r="673" spans="1:4" x14ac:dyDescent="0.25">
      <c r="A673" s="10" t="s">
        <v>52</v>
      </c>
      <c r="B673" t="s">
        <v>443</v>
      </c>
      <c r="C673">
        <v>125</v>
      </c>
      <c r="D673" t="s">
        <v>208</v>
      </c>
    </row>
    <row r="674" spans="1:4" x14ac:dyDescent="0.25">
      <c r="A674" s="10" t="s">
        <v>52</v>
      </c>
      <c r="B674" t="s">
        <v>58</v>
      </c>
      <c r="C674">
        <v>2</v>
      </c>
      <c r="D674" t="s">
        <v>215</v>
      </c>
    </row>
    <row r="675" spans="1:4" x14ac:dyDescent="0.25">
      <c r="A675" s="10" t="s">
        <v>52</v>
      </c>
      <c r="B675" t="s">
        <v>261</v>
      </c>
      <c r="C675">
        <v>25</v>
      </c>
      <c r="D675" t="s">
        <v>230</v>
      </c>
    </row>
    <row r="676" spans="1:4" x14ac:dyDescent="0.25">
      <c r="A676" s="10" t="s">
        <v>52</v>
      </c>
      <c r="B676" t="s">
        <v>210</v>
      </c>
      <c r="C676">
        <v>25</v>
      </c>
      <c r="D676" t="s">
        <v>208</v>
      </c>
    </row>
    <row r="677" spans="1:4" x14ac:dyDescent="0.25">
      <c r="A677" s="10" t="s">
        <v>52</v>
      </c>
      <c r="B677" t="s">
        <v>425</v>
      </c>
      <c r="C677">
        <v>1</v>
      </c>
      <c r="D677" t="s">
        <v>215</v>
      </c>
    </row>
    <row r="678" spans="1:4" x14ac:dyDescent="0.25">
      <c r="A678" s="10" t="s">
        <v>52</v>
      </c>
      <c r="B678" t="s">
        <v>217</v>
      </c>
      <c r="C678">
        <v>0.5</v>
      </c>
      <c r="D678" t="s">
        <v>213</v>
      </c>
    </row>
    <row r="679" spans="1:4" x14ac:dyDescent="0.25">
      <c r="A679" s="10" t="s">
        <v>52</v>
      </c>
      <c r="B679" t="s">
        <v>444</v>
      </c>
      <c r="C679">
        <v>1</v>
      </c>
      <c r="D679" t="s">
        <v>445</v>
      </c>
    </row>
    <row r="680" spans="1:4" x14ac:dyDescent="0.25">
      <c r="A680" s="10" t="s">
        <v>52</v>
      </c>
      <c r="B680" t="s">
        <v>112</v>
      </c>
      <c r="C680">
        <v>0.5</v>
      </c>
      <c r="D680" t="s">
        <v>226</v>
      </c>
    </row>
    <row r="682" spans="1:4" x14ac:dyDescent="0.25">
      <c r="A682" s="1" t="s">
        <v>113</v>
      </c>
      <c r="B682" t="s">
        <v>336</v>
      </c>
      <c r="C682">
        <v>100</v>
      </c>
      <c r="D682" t="s">
        <v>208</v>
      </c>
    </row>
    <row r="683" spans="1:4" x14ac:dyDescent="0.25">
      <c r="A683" s="10" t="s">
        <v>113</v>
      </c>
      <c r="B683" t="s">
        <v>118</v>
      </c>
      <c r="C683">
        <v>1</v>
      </c>
      <c r="D683" t="s">
        <v>213</v>
      </c>
    </row>
    <row r="684" spans="1:4" x14ac:dyDescent="0.25">
      <c r="A684" s="10" t="s">
        <v>113</v>
      </c>
      <c r="B684" t="s">
        <v>45</v>
      </c>
      <c r="C684">
        <v>0.5</v>
      </c>
      <c r="D684" t="s">
        <v>215</v>
      </c>
    </row>
    <row r="685" spans="1:4" x14ac:dyDescent="0.25">
      <c r="A685" s="10" t="s">
        <v>113</v>
      </c>
      <c r="B685" t="s">
        <v>112</v>
      </c>
      <c r="C685">
        <v>0.5</v>
      </c>
      <c r="D685" t="s">
        <v>226</v>
      </c>
    </row>
    <row r="686" spans="1:4" x14ac:dyDescent="0.25">
      <c r="A686" s="10" t="s">
        <v>113</v>
      </c>
      <c r="B686" t="s">
        <v>307</v>
      </c>
      <c r="C686">
        <v>0.5</v>
      </c>
      <c r="D686" t="s">
        <v>215</v>
      </c>
    </row>
    <row r="687" spans="1:4" x14ac:dyDescent="0.25">
      <c r="A687" s="10" t="s">
        <v>113</v>
      </c>
      <c r="B687" t="s">
        <v>446</v>
      </c>
      <c r="C687">
        <v>1.25</v>
      </c>
      <c r="D687" t="s">
        <v>208</v>
      </c>
    </row>
    <row r="688" spans="1:4" x14ac:dyDescent="0.25">
      <c r="A688" s="10" t="s">
        <v>113</v>
      </c>
      <c r="B688" t="s">
        <v>447</v>
      </c>
      <c r="C688">
        <v>75</v>
      </c>
      <c r="D688" t="s">
        <v>208</v>
      </c>
    </row>
    <row r="689" spans="1:4" x14ac:dyDescent="0.25">
      <c r="A689" s="10" t="s">
        <v>113</v>
      </c>
      <c r="B689" t="s">
        <v>227</v>
      </c>
      <c r="C689">
        <v>100</v>
      </c>
      <c r="D689" t="s">
        <v>208</v>
      </c>
    </row>
    <row r="690" spans="1:4" x14ac:dyDescent="0.25">
      <c r="A690" s="10" t="s">
        <v>113</v>
      </c>
      <c r="B690" t="s">
        <v>448</v>
      </c>
      <c r="C690">
        <v>62.5</v>
      </c>
      <c r="D690" t="s">
        <v>230</v>
      </c>
    </row>
    <row r="691" spans="1:4" x14ac:dyDescent="0.25">
      <c r="A691" s="10" t="s">
        <v>113</v>
      </c>
      <c r="B691" t="s">
        <v>449</v>
      </c>
      <c r="C691">
        <v>0.25</v>
      </c>
      <c r="D691" t="s">
        <v>215</v>
      </c>
    </row>
    <row r="693" spans="1:4" x14ac:dyDescent="0.25">
      <c r="A693" s="1" t="s">
        <v>114</v>
      </c>
      <c r="B693" t="s">
        <v>108</v>
      </c>
      <c r="C693">
        <v>80</v>
      </c>
      <c r="D693" t="s">
        <v>208</v>
      </c>
    </row>
    <row r="694" spans="1:4" x14ac:dyDescent="0.25">
      <c r="A694" s="10" t="s">
        <v>114</v>
      </c>
      <c r="B694" t="s">
        <v>45</v>
      </c>
      <c r="C694">
        <v>0.25</v>
      </c>
      <c r="D694" t="s">
        <v>215</v>
      </c>
    </row>
    <row r="695" spans="1:4" x14ac:dyDescent="0.25">
      <c r="A695" s="10" t="s">
        <v>114</v>
      </c>
      <c r="B695" t="s">
        <v>112</v>
      </c>
      <c r="C695">
        <v>1</v>
      </c>
      <c r="D695" t="s">
        <v>226</v>
      </c>
    </row>
    <row r="696" spans="1:4" x14ac:dyDescent="0.25">
      <c r="A696" s="10" t="s">
        <v>114</v>
      </c>
      <c r="B696" t="s">
        <v>450</v>
      </c>
      <c r="C696">
        <v>1</v>
      </c>
      <c r="D696" t="s">
        <v>218</v>
      </c>
    </row>
    <row r="697" spans="1:4" x14ac:dyDescent="0.25">
      <c r="A697" s="10" t="s">
        <v>114</v>
      </c>
      <c r="B697" t="s">
        <v>309</v>
      </c>
      <c r="C697">
        <v>1</v>
      </c>
      <c r="D697" t="s">
        <v>218</v>
      </c>
    </row>
    <row r="698" spans="1:4" x14ac:dyDescent="0.25">
      <c r="A698" s="10" t="s">
        <v>114</v>
      </c>
      <c r="B698" t="s">
        <v>83</v>
      </c>
      <c r="C698">
        <v>0.5</v>
      </c>
      <c r="D698" t="s">
        <v>288</v>
      </c>
    </row>
    <row r="699" spans="1:4" x14ac:dyDescent="0.25">
      <c r="A699" s="10" t="s">
        <v>114</v>
      </c>
      <c r="B699" t="s">
        <v>451</v>
      </c>
      <c r="C699">
        <v>40</v>
      </c>
      <c r="D699" t="s">
        <v>208</v>
      </c>
    </row>
    <row r="700" spans="1:4" x14ac:dyDescent="0.25">
      <c r="A700" s="10" t="s">
        <v>114</v>
      </c>
      <c r="B700" t="s">
        <v>447</v>
      </c>
      <c r="C700">
        <v>65</v>
      </c>
      <c r="D700" t="s">
        <v>208</v>
      </c>
    </row>
    <row r="701" spans="1:4" x14ac:dyDescent="0.25">
      <c r="A701" s="10" t="s">
        <v>114</v>
      </c>
      <c r="B701" t="s">
        <v>452</v>
      </c>
      <c r="C701">
        <v>40</v>
      </c>
      <c r="D701" t="s">
        <v>208</v>
      </c>
    </row>
    <row r="702" spans="1:4" x14ac:dyDescent="0.25">
      <c r="A702" s="10" t="s">
        <v>114</v>
      </c>
      <c r="B702" t="s">
        <v>396</v>
      </c>
      <c r="C702">
        <v>1</v>
      </c>
      <c r="D702" t="s">
        <v>218</v>
      </c>
    </row>
    <row r="703" spans="1:4" x14ac:dyDescent="0.25">
      <c r="A703" s="10" t="s">
        <v>114</v>
      </c>
      <c r="B703" t="s">
        <v>96</v>
      </c>
      <c r="C703">
        <v>1</v>
      </c>
      <c r="D703" t="s">
        <v>311</v>
      </c>
    </row>
    <row r="705" spans="1:4" x14ac:dyDescent="0.25">
      <c r="A705" s="1" t="s">
        <v>111</v>
      </c>
      <c r="B705" t="s">
        <v>447</v>
      </c>
      <c r="C705">
        <v>75</v>
      </c>
      <c r="D705" t="s">
        <v>208</v>
      </c>
    </row>
    <row r="706" spans="1:4" x14ac:dyDescent="0.25">
      <c r="A706" s="10" t="s">
        <v>111</v>
      </c>
      <c r="B706" t="s">
        <v>13</v>
      </c>
      <c r="C706">
        <v>175</v>
      </c>
      <c r="D706" t="s">
        <v>208</v>
      </c>
    </row>
    <row r="707" spans="1:4" x14ac:dyDescent="0.25">
      <c r="A707" s="10" t="s">
        <v>111</v>
      </c>
      <c r="B707" t="s">
        <v>45</v>
      </c>
      <c r="C707">
        <v>0.5</v>
      </c>
      <c r="D707" t="s">
        <v>215</v>
      </c>
    </row>
    <row r="708" spans="1:4" x14ac:dyDescent="0.25">
      <c r="A708" s="10" t="s">
        <v>111</v>
      </c>
      <c r="B708" t="s">
        <v>112</v>
      </c>
      <c r="C708">
        <v>1</v>
      </c>
      <c r="D708" t="s">
        <v>226</v>
      </c>
    </row>
    <row r="709" spans="1:4" x14ac:dyDescent="0.25">
      <c r="A709" s="10" t="s">
        <v>111</v>
      </c>
      <c r="B709" t="s">
        <v>453</v>
      </c>
      <c r="C709">
        <v>75</v>
      </c>
      <c r="D709" t="s">
        <v>208</v>
      </c>
    </row>
    <row r="710" spans="1:4" x14ac:dyDescent="0.25">
      <c r="A710" s="10" t="s">
        <v>111</v>
      </c>
      <c r="B710" t="s">
        <v>110</v>
      </c>
      <c r="C710">
        <v>175</v>
      </c>
      <c r="D710" t="s">
        <v>230</v>
      </c>
    </row>
    <row r="711" spans="1:4" x14ac:dyDescent="0.25">
      <c r="A711" s="10" t="s">
        <v>111</v>
      </c>
      <c r="B711" t="s">
        <v>96</v>
      </c>
      <c r="C711">
        <v>10</v>
      </c>
      <c r="D711" t="s">
        <v>208</v>
      </c>
    </row>
    <row r="712" spans="1:4" x14ac:dyDescent="0.25">
      <c r="A712" s="10" t="s">
        <v>111</v>
      </c>
      <c r="B712" t="s">
        <v>333</v>
      </c>
      <c r="C712">
        <v>30</v>
      </c>
      <c r="D712" t="s">
        <v>208</v>
      </c>
    </row>
    <row r="713" spans="1:4" x14ac:dyDescent="0.25">
      <c r="A713" s="10" t="s">
        <v>111</v>
      </c>
      <c r="B713" t="s">
        <v>379</v>
      </c>
      <c r="C713">
        <v>50</v>
      </c>
      <c r="D713" t="s">
        <v>208</v>
      </c>
    </row>
    <row r="714" spans="1:4" x14ac:dyDescent="0.25">
      <c r="A714" s="10" t="s">
        <v>111</v>
      </c>
      <c r="B714" t="s">
        <v>408</v>
      </c>
      <c r="C714">
        <v>1</v>
      </c>
      <c r="D714" t="s">
        <v>213</v>
      </c>
    </row>
    <row r="716" spans="1:4" x14ac:dyDescent="0.25">
      <c r="A716" s="1" t="s">
        <v>44</v>
      </c>
      <c r="B716" t="s">
        <v>454</v>
      </c>
      <c r="C716">
        <v>2</v>
      </c>
      <c r="D716" t="s">
        <v>215</v>
      </c>
    </row>
    <row r="717" spans="1:4" x14ac:dyDescent="0.25">
      <c r="A717" s="10" t="s">
        <v>44</v>
      </c>
      <c r="B717" t="s">
        <v>455</v>
      </c>
      <c r="C717">
        <v>2</v>
      </c>
      <c r="D717" t="s">
        <v>215</v>
      </c>
    </row>
    <row r="718" spans="1:4" x14ac:dyDescent="0.25">
      <c r="A718" s="10" t="s">
        <v>44</v>
      </c>
      <c r="B718" t="s">
        <v>219</v>
      </c>
      <c r="C718">
        <v>0.25</v>
      </c>
      <c r="D718" t="s">
        <v>213</v>
      </c>
    </row>
    <row r="719" spans="1:4" x14ac:dyDescent="0.25">
      <c r="A719" s="10" t="s">
        <v>44</v>
      </c>
      <c r="B719" t="s">
        <v>220</v>
      </c>
      <c r="C719">
        <v>0.5</v>
      </c>
      <c r="D719" t="s">
        <v>213</v>
      </c>
    </row>
    <row r="721" spans="1:4" x14ac:dyDescent="0.25">
      <c r="A721" s="1" t="s">
        <v>95</v>
      </c>
      <c r="B721" t="s">
        <v>430</v>
      </c>
      <c r="C721">
        <v>100</v>
      </c>
      <c r="D721" t="s">
        <v>208</v>
      </c>
    </row>
    <row r="722" spans="1:4" x14ac:dyDescent="0.25">
      <c r="A722" s="10" t="s">
        <v>95</v>
      </c>
      <c r="B722" t="s">
        <v>310</v>
      </c>
      <c r="C722">
        <v>25</v>
      </c>
      <c r="D722" t="s">
        <v>208</v>
      </c>
    </row>
    <row r="723" spans="1:4" x14ac:dyDescent="0.25">
      <c r="A723" s="10" t="s">
        <v>95</v>
      </c>
      <c r="B723" t="s">
        <v>112</v>
      </c>
      <c r="C723">
        <v>1</v>
      </c>
      <c r="D723" t="s">
        <v>226</v>
      </c>
    </row>
    <row r="724" spans="1:4" x14ac:dyDescent="0.25">
      <c r="A724" s="10" t="s">
        <v>95</v>
      </c>
      <c r="B724" t="s">
        <v>42</v>
      </c>
      <c r="C724">
        <v>1</v>
      </c>
      <c r="D724" t="s">
        <v>215</v>
      </c>
    </row>
    <row r="725" spans="1:4" x14ac:dyDescent="0.25">
      <c r="A725" s="10" t="s">
        <v>95</v>
      </c>
      <c r="B725" t="s">
        <v>118</v>
      </c>
      <c r="C725">
        <v>0.75</v>
      </c>
      <c r="D725" t="s">
        <v>213</v>
      </c>
    </row>
    <row r="726" spans="1:4" x14ac:dyDescent="0.25">
      <c r="A726" s="10" t="s">
        <v>95</v>
      </c>
      <c r="B726" t="s">
        <v>38</v>
      </c>
      <c r="C726">
        <v>0.5</v>
      </c>
      <c r="D726" t="s">
        <v>215</v>
      </c>
    </row>
    <row r="727" spans="1:4" x14ac:dyDescent="0.25">
      <c r="A727" s="10" t="s">
        <v>95</v>
      </c>
      <c r="B727" t="s">
        <v>45</v>
      </c>
      <c r="C727">
        <v>0.5</v>
      </c>
      <c r="D727" t="s">
        <v>215</v>
      </c>
    </row>
    <row r="728" spans="1:4" x14ac:dyDescent="0.25">
      <c r="A728" s="10" t="s">
        <v>95</v>
      </c>
      <c r="B728" t="s">
        <v>166</v>
      </c>
      <c r="C728">
        <v>5</v>
      </c>
      <c r="D728" t="s">
        <v>208</v>
      </c>
    </row>
    <row r="729" spans="1:4" x14ac:dyDescent="0.25">
      <c r="A729" s="10" t="s">
        <v>95</v>
      </c>
      <c r="B729" t="s">
        <v>446</v>
      </c>
      <c r="C729">
        <v>5</v>
      </c>
      <c r="D729" t="s">
        <v>208</v>
      </c>
    </row>
    <row r="731" spans="1:4" x14ac:dyDescent="0.25">
      <c r="A731" s="1" t="s">
        <v>116</v>
      </c>
      <c r="B731" t="s">
        <v>447</v>
      </c>
      <c r="C731">
        <v>80</v>
      </c>
      <c r="D731" t="s">
        <v>208</v>
      </c>
    </row>
    <row r="732" spans="1:4" x14ac:dyDescent="0.25">
      <c r="A732" s="10" t="s">
        <v>116</v>
      </c>
      <c r="B732" t="s">
        <v>118</v>
      </c>
      <c r="C732">
        <v>1</v>
      </c>
      <c r="D732" t="s">
        <v>213</v>
      </c>
    </row>
    <row r="733" spans="1:4" x14ac:dyDescent="0.25">
      <c r="A733" s="10" t="s">
        <v>116</v>
      </c>
      <c r="B733" t="s">
        <v>336</v>
      </c>
      <c r="C733">
        <v>100</v>
      </c>
      <c r="D733" t="s">
        <v>208</v>
      </c>
    </row>
    <row r="734" spans="1:4" x14ac:dyDescent="0.25">
      <c r="A734" s="10" t="s">
        <v>116</v>
      </c>
      <c r="B734" t="s">
        <v>313</v>
      </c>
      <c r="C734">
        <v>0.5</v>
      </c>
      <c r="D734" t="s">
        <v>215</v>
      </c>
    </row>
    <row r="735" spans="1:4" x14ac:dyDescent="0.25">
      <c r="A735" s="10" t="s">
        <v>116</v>
      </c>
      <c r="B735" t="s">
        <v>36</v>
      </c>
      <c r="C735">
        <v>0.25</v>
      </c>
      <c r="D735" t="s">
        <v>215</v>
      </c>
    </row>
    <row r="736" spans="1:4" x14ac:dyDescent="0.25">
      <c r="A736" s="10" t="s">
        <v>116</v>
      </c>
      <c r="B736" t="s">
        <v>398</v>
      </c>
      <c r="C736">
        <v>4</v>
      </c>
      <c r="D736" t="s">
        <v>208</v>
      </c>
    </row>
    <row r="737" spans="1:4" x14ac:dyDescent="0.25">
      <c r="A737" s="10" t="s">
        <v>116</v>
      </c>
      <c r="B737" t="s">
        <v>408</v>
      </c>
      <c r="C737">
        <v>22.5</v>
      </c>
      <c r="D737" t="s">
        <v>208</v>
      </c>
    </row>
    <row r="738" spans="1:4" x14ac:dyDescent="0.25">
      <c r="A738" s="10" t="s">
        <v>116</v>
      </c>
      <c r="B738" t="s">
        <v>456</v>
      </c>
      <c r="C738">
        <v>20</v>
      </c>
      <c r="D738" t="s">
        <v>208</v>
      </c>
    </row>
    <row r="739" spans="1:4" x14ac:dyDescent="0.25">
      <c r="A739" s="10"/>
    </row>
    <row r="740" spans="1:4" x14ac:dyDescent="0.25">
      <c r="A740" s="1" t="s">
        <v>77</v>
      </c>
      <c r="B740" t="s">
        <v>38</v>
      </c>
      <c r="C740">
        <v>1.5</v>
      </c>
      <c r="D740" t="s">
        <v>215</v>
      </c>
    </row>
    <row r="741" spans="1:4" x14ac:dyDescent="0.25">
      <c r="A741" s="10" t="s">
        <v>77</v>
      </c>
      <c r="B741" t="s">
        <v>112</v>
      </c>
      <c r="C741">
        <v>1</v>
      </c>
      <c r="D741" t="s">
        <v>226</v>
      </c>
    </row>
    <row r="742" spans="1:4" x14ac:dyDescent="0.25">
      <c r="A742" s="10" t="s">
        <v>77</v>
      </c>
      <c r="B742" t="s">
        <v>217</v>
      </c>
      <c r="C742">
        <v>1</v>
      </c>
      <c r="D742" t="s">
        <v>213</v>
      </c>
    </row>
    <row r="743" spans="1:4" x14ac:dyDescent="0.25">
      <c r="A743" s="10" t="s">
        <v>77</v>
      </c>
      <c r="B743" t="s">
        <v>457</v>
      </c>
      <c r="C743">
        <v>1.5</v>
      </c>
      <c r="D743" t="s">
        <v>213</v>
      </c>
    </row>
    <row r="744" spans="1:4" x14ac:dyDescent="0.25">
      <c r="A744" s="10" t="s">
        <v>77</v>
      </c>
      <c r="B744" t="s">
        <v>379</v>
      </c>
      <c r="C744">
        <v>15</v>
      </c>
      <c r="D744" t="s">
        <v>208</v>
      </c>
    </row>
    <row r="745" spans="1:4" x14ac:dyDescent="0.25">
      <c r="A745" s="10" t="s">
        <v>77</v>
      </c>
      <c r="B745" t="s">
        <v>96</v>
      </c>
      <c r="C745">
        <v>6.25</v>
      </c>
      <c r="D745" t="s">
        <v>208</v>
      </c>
    </row>
    <row r="746" spans="1:4" x14ac:dyDescent="0.25">
      <c r="A746" s="10" t="s">
        <v>77</v>
      </c>
      <c r="B746" t="s">
        <v>458</v>
      </c>
      <c r="C746">
        <v>75</v>
      </c>
      <c r="D746" t="s">
        <v>208</v>
      </c>
    </row>
    <row r="748" spans="1:4" x14ac:dyDescent="0.25">
      <c r="A748" s="1" t="s">
        <v>129</v>
      </c>
      <c r="B748" t="s">
        <v>430</v>
      </c>
      <c r="C748">
        <v>75</v>
      </c>
      <c r="D748" t="s">
        <v>208</v>
      </c>
    </row>
    <row r="749" spans="1:4" x14ac:dyDescent="0.25">
      <c r="A749" s="10" t="s">
        <v>129</v>
      </c>
      <c r="B749" t="s">
        <v>459</v>
      </c>
      <c r="C749">
        <v>180</v>
      </c>
      <c r="D749" t="s">
        <v>208</v>
      </c>
    </row>
    <row r="750" spans="1:4" x14ac:dyDescent="0.25">
      <c r="A750" s="10" t="s">
        <v>129</v>
      </c>
      <c r="B750" t="s">
        <v>408</v>
      </c>
      <c r="C750">
        <v>45</v>
      </c>
      <c r="D750" t="s">
        <v>208</v>
      </c>
    </row>
    <row r="751" spans="1:4" x14ac:dyDescent="0.25">
      <c r="A751" s="10" t="s">
        <v>129</v>
      </c>
      <c r="B751" t="s">
        <v>96</v>
      </c>
      <c r="C751">
        <v>5</v>
      </c>
      <c r="D751" t="s">
        <v>208</v>
      </c>
    </row>
    <row r="752" spans="1:4" x14ac:dyDescent="0.25">
      <c r="A752" s="10" t="s">
        <v>129</v>
      </c>
      <c r="B752" t="s">
        <v>460</v>
      </c>
      <c r="C752">
        <v>0.5</v>
      </c>
      <c r="D752" t="s">
        <v>215</v>
      </c>
    </row>
    <row r="753" spans="1:4" x14ac:dyDescent="0.25">
      <c r="A753" s="10"/>
    </row>
    <row r="754" spans="1:4" x14ac:dyDescent="0.25">
      <c r="A754" s="1" t="s">
        <v>131</v>
      </c>
      <c r="B754" t="s">
        <v>461</v>
      </c>
      <c r="C754">
        <v>250</v>
      </c>
      <c r="D754" t="s">
        <v>208</v>
      </c>
    </row>
    <row r="755" spans="1:4" x14ac:dyDescent="0.25">
      <c r="A755" s="10" t="s">
        <v>131</v>
      </c>
      <c r="B755" t="s">
        <v>118</v>
      </c>
      <c r="C755">
        <v>40</v>
      </c>
      <c r="D755" t="s">
        <v>230</v>
      </c>
    </row>
    <row r="756" spans="1:4" x14ac:dyDescent="0.25">
      <c r="A756" s="10" t="s">
        <v>131</v>
      </c>
      <c r="B756" t="s">
        <v>462</v>
      </c>
      <c r="C756">
        <v>5</v>
      </c>
      <c r="D756" t="s">
        <v>208</v>
      </c>
    </row>
    <row r="757" spans="1:4" x14ac:dyDescent="0.25">
      <c r="A757" s="10" t="s">
        <v>131</v>
      </c>
      <c r="B757" t="s">
        <v>365</v>
      </c>
      <c r="C757">
        <v>5</v>
      </c>
      <c r="D757" t="s">
        <v>208</v>
      </c>
    </row>
    <row r="758" spans="1:4" x14ac:dyDescent="0.25">
      <c r="A758" s="10" t="s">
        <v>131</v>
      </c>
      <c r="B758" t="s">
        <v>243</v>
      </c>
      <c r="C758">
        <v>1</v>
      </c>
      <c r="D758" t="s">
        <v>213</v>
      </c>
    </row>
    <row r="759" spans="1:4" x14ac:dyDescent="0.25">
      <c r="A759" s="10" t="s">
        <v>131</v>
      </c>
      <c r="B759" t="s">
        <v>280</v>
      </c>
      <c r="C759">
        <v>100</v>
      </c>
      <c r="D759" t="s">
        <v>230</v>
      </c>
    </row>
    <row r="760" spans="1:4" x14ac:dyDescent="0.25">
      <c r="A760" s="10" t="s">
        <v>131</v>
      </c>
      <c r="B760" t="s">
        <v>273</v>
      </c>
      <c r="C760">
        <v>1</v>
      </c>
      <c r="D760" t="s">
        <v>213</v>
      </c>
    </row>
    <row r="761" spans="1:4" x14ac:dyDescent="0.25">
      <c r="A761" s="10" t="s">
        <v>131</v>
      </c>
      <c r="B761" t="s">
        <v>216</v>
      </c>
      <c r="C761">
        <v>1</v>
      </c>
      <c r="D761" t="s">
        <v>218</v>
      </c>
    </row>
    <row r="762" spans="1:4" x14ac:dyDescent="0.25">
      <c r="A762" s="10" t="s">
        <v>131</v>
      </c>
      <c r="B762" t="s">
        <v>163</v>
      </c>
      <c r="C762">
        <v>0.25</v>
      </c>
      <c r="D762" t="s">
        <v>437</v>
      </c>
    </row>
    <row r="763" spans="1:4" x14ac:dyDescent="0.25">
      <c r="A763" s="10" t="s">
        <v>131</v>
      </c>
      <c r="B763" t="s">
        <v>463</v>
      </c>
      <c r="C763">
        <v>40</v>
      </c>
      <c r="D763" t="s">
        <v>208</v>
      </c>
    </row>
    <row r="765" spans="1:4" x14ac:dyDescent="0.25">
      <c r="A765" s="1" t="s">
        <v>109</v>
      </c>
      <c r="B765" t="s">
        <v>38</v>
      </c>
      <c r="C765">
        <v>1</v>
      </c>
      <c r="D765" t="s">
        <v>215</v>
      </c>
    </row>
    <row r="766" spans="1:4" x14ac:dyDescent="0.25">
      <c r="A766" s="10" t="s">
        <v>109</v>
      </c>
      <c r="B766" t="s">
        <v>71</v>
      </c>
      <c r="C766">
        <v>0.5</v>
      </c>
      <c r="D766" t="s">
        <v>288</v>
      </c>
    </row>
    <row r="767" spans="1:4" x14ac:dyDescent="0.25">
      <c r="A767" s="10" t="s">
        <v>109</v>
      </c>
      <c r="B767" t="s">
        <v>98</v>
      </c>
      <c r="C767">
        <v>1</v>
      </c>
      <c r="D767" t="s">
        <v>215</v>
      </c>
    </row>
    <row r="768" spans="1:4" x14ac:dyDescent="0.25">
      <c r="A768" s="10" t="s">
        <v>109</v>
      </c>
      <c r="B768" t="s">
        <v>464</v>
      </c>
      <c r="C768">
        <v>10</v>
      </c>
      <c r="D768" t="s">
        <v>208</v>
      </c>
    </row>
    <row r="769" spans="1:4" x14ac:dyDescent="0.25">
      <c r="A769" s="10" t="s">
        <v>109</v>
      </c>
      <c r="B769" t="s">
        <v>271</v>
      </c>
      <c r="C769">
        <v>75</v>
      </c>
      <c r="D769" t="s">
        <v>208</v>
      </c>
    </row>
    <row r="770" spans="1:4" x14ac:dyDescent="0.25">
      <c r="A770" s="10" t="s">
        <v>109</v>
      </c>
      <c r="B770" t="s">
        <v>465</v>
      </c>
      <c r="C770">
        <v>50</v>
      </c>
      <c r="D770" t="s">
        <v>208</v>
      </c>
    </row>
    <row r="771" spans="1:4" x14ac:dyDescent="0.25">
      <c r="A771" s="10" t="s">
        <v>109</v>
      </c>
      <c r="B771" t="s">
        <v>210</v>
      </c>
      <c r="C771">
        <v>40</v>
      </c>
      <c r="D771" t="s">
        <v>208</v>
      </c>
    </row>
    <row r="772" spans="1:4" x14ac:dyDescent="0.25">
      <c r="A772" s="10" t="s">
        <v>109</v>
      </c>
      <c r="B772" t="s">
        <v>425</v>
      </c>
      <c r="C772">
        <v>1</v>
      </c>
      <c r="D772" t="s">
        <v>215</v>
      </c>
    </row>
    <row r="773" spans="1:4" x14ac:dyDescent="0.25">
      <c r="A773" s="10" t="s">
        <v>109</v>
      </c>
      <c r="B773" t="s">
        <v>398</v>
      </c>
      <c r="C773">
        <v>1.5</v>
      </c>
      <c r="D773" t="s">
        <v>208</v>
      </c>
    </row>
    <row r="774" spans="1:4" x14ac:dyDescent="0.25">
      <c r="A774" s="10" t="s">
        <v>109</v>
      </c>
      <c r="B774" t="s">
        <v>307</v>
      </c>
      <c r="C774">
        <v>0.25</v>
      </c>
      <c r="D774" t="s">
        <v>215</v>
      </c>
    </row>
    <row r="775" spans="1:4" x14ac:dyDescent="0.25">
      <c r="A775" s="10" t="s">
        <v>109</v>
      </c>
      <c r="B775" t="s">
        <v>433</v>
      </c>
      <c r="C775">
        <v>1</v>
      </c>
      <c r="D775" t="s">
        <v>213</v>
      </c>
    </row>
    <row r="777" spans="1:4" x14ac:dyDescent="0.25">
      <c r="A777" s="1" t="s">
        <v>139</v>
      </c>
      <c r="B777" t="s">
        <v>118</v>
      </c>
      <c r="C777">
        <v>1</v>
      </c>
      <c r="D777" t="s">
        <v>213</v>
      </c>
    </row>
    <row r="778" spans="1:4" x14ac:dyDescent="0.25">
      <c r="A778" s="10" t="s">
        <v>139</v>
      </c>
      <c r="B778" t="s">
        <v>227</v>
      </c>
      <c r="C778">
        <v>100</v>
      </c>
      <c r="D778" t="s">
        <v>208</v>
      </c>
    </row>
    <row r="779" spans="1:4" x14ac:dyDescent="0.25">
      <c r="A779" s="10" t="s">
        <v>139</v>
      </c>
      <c r="B779" t="s">
        <v>466</v>
      </c>
      <c r="C779">
        <v>50</v>
      </c>
      <c r="D779" t="s">
        <v>208</v>
      </c>
    </row>
    <row r="780" spans="1:4" x14ac:dyDescent="0.25">
      <c r="A780" s="10" t="s">
        <v>139</v>
      </c>
      <c r="B780" t="s">
        <v>467</v>
      </c>
      <c r="C780">
        <v>125</v>
      </c>
      <c r="D780" t="s">
        <v>208</v>
      </c>
    </row>
    <row r="781" spans="1:4" x14ac:dyDescent="0.25">
      <c r="A781" s="10" t="s">
        <v>139</v>
      </c>
      <c r="B781" t="s">
        <v>217</v>
      </c>
      <c r="C781">
        <v>2</v>
      </c>
      <c r="D781" t="s">
        <v>218</v>
      </c>
    </row>
    <row r="782" spans="1:4" x14ac:dyDescent="0.25">
      <c r="A782" s="10" t="s">
        <v>139</v>
      </c>
      <c r="B782" t="s">
        <v>45</v>
      </c>
      <c r="C782">
        <v>1</v>
      </c>
      <c r="D782" t="s">
        <v>215</v>
      </c>
    </row>
    <row r="783" spans="1:4" x14ac:dyDescent="0.25">
      <c r="A783" s="10" t="s">
        <v>139</v>
      </c>
      <c r="B783" t="s">
        <v>271</v>
      </c>
      <c r="C783">
        <v>75</v>
      </c>
      <c r="D783" t="s">
        <v>208</v>
      </c>
    </row>
    <row r="784" spans="1:4" x14ac:dyDescent="0.25">
      <c r="A784" s="10" t="s">
        <v>139</v>
      </c>
      <c r="B784" t="s">
        <v>468</v>
      </c>
      <c r="C784">
        <v>100</v>
      </c>
      <c r="D784" t="s">
        <v>208</v>
      </c>
    </row>
    <row r="785" spans="1:4" x14ac:dyDescent="0.25">
      <c r="A785" s="10" t="s">
        <v>139</v>
      </c>
      <c r="B785" t="s">
        <v>469</v>
      </c>
      <c r="C785">
        <v>80</v>
      </c>
      <c r="D785" t="s">
        <v>208</v>
      </c>
    </row>
    <row r="786" spans="1:4" x14ac:dyDescent="0.25">
      <c r="A786" s="10" t="s">
        <v>139</v>
      </c>
      <c r="B786" t="s">
        <v>470</v>
      </c>
      <c r="C786">
        <v>80</v>
      </c>
      <c r="D786" t="s">
        <v>208</v>
      </c>
    </row>
    <row r="787" spans="1:4" x14ac:dyDescent="0.25">
      <c r="A787" s="10" t="s">
        <v>139</v>
      </c>
      <c r="B787" t="s">
        <v>210</v>
      </c>
      <c r="C787">
        <v>50</v>
      </c>
      <c r="D787" t="s">
        <v>208</v>
      </c>
    </row>
    <row r="789" spans="1:4" x14ac:dyDescent="0.25">
      <c r="A789" s="1" t="s">
        <v>37</v>
      </c>
      <c r="B789" t="s">
        <v>176</v>
      </c>
      <c r="C789">
        <v>1</v>
      </c>
      <c r="D789" t="s">
        <v>215</v>
      </c>
    </row>
    <row r="790" spans="1:4" x14ac:dyDescent="0.25">
      <c r="A790" s="10" t="s">
        <v>37</v>
      </c>
      <c r="B790" t="s">
        <v>58</v>
      </c>
      <c r="C790">
        <v>1</v>
      </c>
      <c r="D790" t="s">
        <v>215</v>
      </c>
    </row>
    <row r="791" spans="1:4" x14ac:dyDescent="0.25">
      <c r="A791" s="10" t="s">
        <v>37</v>
      </c>
      <c r="B791" t="s">
        <v>45</v>
      </c>
      <c r="C791">
        <v>0.5</v>
      </c>
      <c r="D791" t="s">
        <v>215</v>
      </c>
    </row>
    <row r="792" spans="1:4" x14ac:dyDescent="0.25">
      <c r="A792" s="10" t="s">
        <v>37</v>
      </c>
      <c r="B792" t="s">
        <v>220</v>
      </c>
      <c r="C792">
        <v>1</v>
      </c>
      <c r="D792" t="s">
        <v>213</v>
      </c>
    </row>
    <row r="793" spans="1:4" x14ac:dyDescent="0.25">
      <c r="A793" s="10" t="s">
        <v>37</v>
      </c>
      <c r="B793" t="s">
        <v>163</v>
      </c>
      <c r="C793">
        <v>0.25</v>
      </c>
      <c r="D793" t="s">
        <v>215</v>
      </c>
    </row>
    <row r="794" spans="1:4" x14ac:dyDescent="0.25">
      <c r="A794" s="10" t="s">
        <v>37</v>
      </c>
      <c r="B794" t="s">
        <v>471</v>
      </c>
      <c r="C794">
        <v>2</v>
      </c>
      <c r="D794" t="s">
        <v>472</v>
      </c>
    </row>
    <row r="796" spans="1:4" x14ac:dyDescent="0.25">
      <c r="A796" s="1" t="s">
        <v>152</v>
      </c>
      <c r="B796" t="s">
        <v>247</v>
      </c>
      <c r="C796">
        <v>200</v>
      </c>
      <c r="D796" t="s">
        <v>208</v>
      </c>
    </row>
    <row r="797" spans="1:4" x14ac:dyDescent="0.25">
      <c r="A797" s="10" t="s">
        <v>152</v>
      </c>
      <c r="B797" t="s">
        <v>225</v>
      </c>
      <c r="C797">
        <v>0.25</v>
      </c>
      <c r="D797" t="s">
        <v>215</v>
      </c>
    </row>
    <row r="798" spans="1:4" x14ac:dyDescent="0.25">
      <c r="A798" s="10" t="s">
        <v>152</v>
      </c>
      <c r="B798" t="s">
        <v>473</v>
      </c>
      <c r="C798">
        <v>200</v>
      </c>
      <c r="D798" t="s">
        <v>208</v>
      </c>
    </row>
    <row r="799" spans="1:4" x14ac:dyDescent="0.25">
      <c r="A799" s="10" t="s">
        <v>152</v>
      </c>
      <c r="B799" t="s">
        <v>118</v>
      </c>
      <c r="C799">
        <v>1.5</v>
      </c>
      <c r="D799" t="s">
        <v>213</v>
      </c>
    </row>
    <row r="800" spans="1:4" x14ac:dyDescent="0.25">
      <c r="A800" s="10" t="s">
        <v>152</v>
      </c>
      <c r="B800" t="s">
        <v>474</v>
      </c>
      <c r="C800">
        <v>0.25</v>
      </c>
      <c r="D800" t="s">
        <v>213</v>
      </c>
    </row>
    <row r="801" spans="1:4" x14ac:dyDescent="0.25">
      <c r="A801" s="10" t="s">
        <v>152</v>
      </c>
      <c r="B801" t="s">
        <v>416</v>
      </c>
      <c r="C801">
        <v>0.25</v>
      </c>
      <c r="D801" t="s">
        <v>215</v>
      </c>
    </row>
    <row r="802" spans="1:4" x14ac:dyDescent="0.25">
      <c r="A802" s="10" t="s">
        <v>152</v>
      </c>
      <c r="B802" t="s">
        <v>241</v>
      </c>
      <c r="C802">
        <v>5</v>
      </c>
      <c r="D802" t="s">
        <v>208</v>
      </c>
    </row>
    <row r="803" spans="1:4" x14ac:dyDescent="0.25">
      <c r="A803" s="10" t="s">
        <v>152</v>
      </c>
      <c r="B803" t="s">
        <v>427</v>
      </c>
      <c r="C803">
        <v>1</v>
      </c>
      <c r="D803" t="s">
        <v>213</v>
      </c>
    </row>
    <row r="804" spans="1:4" x14ac:dyDescent="0.25">
      <c r="A804" s="10" t="s">
        <v>152</v>
      </c>
      <c r="B804" t="s">
        <v>396</v>
      </c>
      <c r="C804">
        <v>0.5</v>
      </c>
      <c r="D804" t="s">
        <v>218</v>
      </c>
    </row>
    <row r="806" spans="1:4" x14ac:dyDescent="0.25">
      <c r="A806" s="1" t="s">
        <v>143</v>
      </c>
      <c r="B806" t="s">
        <v>475</v>
      </c>
      <c r="C806">
        <v>100</v>
      </c>
      <c r="D806" t="s">
        <v>208</v>
      </c>
    </row>
    <row r="807" spans="1:4" x14ac:dyDescent="0.25">
      <c r="A807" s="10" t="s">
        <v>143</v>
      </c>
      <c r="B807" t="s">
        <v>386</v>
      </c>
      <c r="C807">
        <v>150</v>
      </c>
      <c r="D807" t="s">
        <v>208</v>
      </c>
    </row>
    <row r="808" spans="1:4" x14ac:dyDescent="0.25">
      <c r="A808" s="10" t="s">
        <v>143</v>
      </c>
      <c r="B808" t="s">
        <v>304</v>
      </c>
      <c r="C808">
        <v>0.5</v>
      </c>
      <c r="D808" t="s">
        <v>213</v>
      </c>
    </row>
    <row r="809" spans="1:4" x14ac:dyDescent="0.25">
      <c r="A809" s="10" t="s">
        <v>143</v>
      </c>
      <c r="B809" t="s">
        <v>476</v>
      </c>
      <c r="C809">
        <v>75</v>
      </c>
      <c r="D809" t="s">
        <v>208</v>
      </c>
    </row>
    <row r="810" spans="1:4" x14ac:dyDescent="0.25">
      <c r="A810" s="10" t="s">
        <v>143</v>
      </c>
      <c r="B810" t="s">
        <v>261</v>
      </c>
      <c r="C810">
        <v>2</v>
      </c>
      <c r="D810" t="s">
        <v>213</v>
      </c>
    </row>
    <row r="812" spans="1:4" x14ac:dyDescent="0.25">
      <c r="A812" s="1" t="s">
        <v>127</v>
      </c>
      <c r="B812" t="s">
        <v>477</v>
      </c>
      <c r="C812">
        <v>0.5</v>
      </c>
      <c r="D812" t="s">
        <v>215</v>
      </c>
    </row>
    <row r="813" spans="1:4" x14ac:dyDescent="0.25">
      <c r="A813" s="10" t="s">
        <v>127</v>
      </c>
      <c r="B813" t="s">
        <v>478</v>
      </c>
      <c r="C813">
        <v>75</v>
      </c>
      <c r="D813" t="s">
        <v>208</v>
      </c>
    </row>
    <row r="814" spans="1:4" x14ac:dyDescent="0.25">
      <c r="A814" s="10" t="s">
        <v>127</v>
      </c>
      <c r="B814" t="s">
        <v>13</v>
      </c>
      <c r="C814">
        <v>150</v>
      </c>
      <c r="D814" t="s">
        <v>208</v>
      </c>
    </row>
    <row r="815" spans="1:4" x14ac:dyDescent="0.25">
      <c r="A815" s="10" t="s">
        <v>127</v>
      </c>
      <c r="B815" t="s">
        <v>457</v>
      </c>
      <c r="C815">
        <v>0.75</v>
      </c>
      <c r="D815" t="s">
        <v>213</v>
      </c>
    </row>
    <row r="816" spans="1:4" x14ac:dyDescent="0.25">
      <c r="A816" s="10" t="s">
        <v>127</v>
      </c>
      <c r="B816" t="s">
        <v>112</v>
      </c>
      <c r="C816">
        <v>0.5</v>
      </c>
      <c r="D816" t="s">
        <v>479</v>
      </c>
    </row>
    <row r="817" spans="1:4" x14ac:dyDescent="0.25">
      <c r="A817" s="10" t="s">
        <v>127</v>
      </c>
      <c r="B817" t="s">
        <v>28</v>
      </c>
      <c r="C817">
        <v>65</v>
      </c>
      <c r="D817" t="s">
        <v>208</v>
      </c>
    </row>
    <row r="818" spans="1:4" x14ac:dyDescent="0.25">
      <c r="A818" s="10" t="s">
        <v>127</v>
      </c>
      <c r="B818" t="s">
        <v>408</v>
      </c>
      <c r="C818">
        <v>20</v>
      </c>
      <c r="D818" t="s">
        <v>208</v>
      </c>
    </row>
    <row r="820" spans="1:4" x14ac:dyDescent="0.25">
      <c r="A820" s="1" t="s">
        <v>133</v>
      </c>
      <c r="B820" t="s">
        <v>243</v>
      </c>
      <c r="C820">
        <v>62.5</v>
      </c>
      <c r="D820" t="s">
        <v>208</v>
      </c>
    </row>
    <row r="821" spans="1:4" x14ac:dyDescent="0.25">
      <c r="A821" s="10" t="s">
        <v>133</v>
      </c>
      <c r="B821" t="s">
        <v>480</v>
      </c>
      <c r="C821">
        <v>1</v>
      </c>
      <c r="D821" t="s">
        <v>208</v>
      </c>
    </row>
    <row r="822" spans="1:4" x14ac:dyDescent="0.25">
      <c r="A822" s="10" t="s">
        <v>133</v>
      </c>
      <c r="B822" t="s">
        <v>457</v>
      </c>
      <c r="C822">
        <v>0.75</v>
      </c>
      <c r="D822" t="s">
        <v>213</v>
      </c>
    </row>
    <row r="823" spans="1:4" x14ac:dyDescent="0.25">
      <c r="A823" s="10" t="s">
        <v>133</v>
      </c>
      <c r="B823" t="s">
        <v>216</v>
      </c>
      <c r="C823">
        <v>0.125</v>
      </c>
      <c r="D823" t="s">
        <v>213</v>
      </c>
    </row>
    <row r="824" spans="1:4" x14ac:dyDescent="0.25">
      <c r="A824" s="10" t="s">
        <v>133</v>
      </c>
      <c r="B824" t="s">
        <v>171</v>
      </c>
      <c r="C824">
        <v>100</v>
      </c>
      <c r="D824" t="s">
        <v>208</v>
      </c>
    </row>
    <row r="825" spans="1:4" x14ac:dyDescent="0.25">
      <c r="A825" s="10" t="s">
        <v>133</v>
      </c>
      <c r="B825" t="s">
        <v>182</v>
      </c>
      <c r="C825">
        <v>0.4</v>
      </c>
      <c r="D825" t="s">
        <v>215</v>
      </c>
    </row>
    <row r="826" spans="1:4" x14ac:dyDescent="0.25">
      <c r="A826" s="10" t="s">
        <v>133</v>
      </c>
      <c r="B826" t="s">
        <v>166</v>
      </c>
      <c r="C826">
        <v>0.5</v>
      </c>
      <c r="D826" t="s">
        <v>256</v>
      </c>
    </row>
    <row r="827" spans="1:4" x14ac:dyDescent="0.25">
      <c r="A827" s="10" t="s">
        <v>133</v>
      </c>
      <c r="B827" t="s">
        <v>112</v>
      </c>
      <c r="C827">
        <v>0.5</v>
      </c>
      <c r="D827" t="s">
        <v>479</v>
      </c>
    </row>
    <row r="828" spans="1:4" x14ac:dyDescent="0.25">
      <c r="A828" s="10" t="s">
        <v>133</v>
      </c>
      <c r="B828" t="s">
        <v>333</v>
      </c>
      <c r="C828">
        <v>12.5</v>
      </c>
      <c r="D828" t="s">
        <v>208</v>
      </c>
    </row>
    <row r="830" spans="1:4" x14ac:dyDescent="0.25">
      <c r="A830" s="1" t="s">
        <v>138</v>
      </c>
      <c r="B830" t="s">
        <v>457</v>
      </c>
      <c r="C830">
        <v>0.75</v>
      </c>
      <c r="D830" t="s">
        <v>213</v>
      </c>
    </row>
    <row r="831" spans="1:4" x14ac:dyDescent="0.25">
      <c r="A831" s="10" t="s">
        <v>138</v>
      </c>
      <c r="B831" t="s">
        <v>533</v>
      </c>
      <c r="C831">
        <v>100</v>
      </c>
      <c r="D831" t="s">
        <v>208</v>
      </c>
    </row>
    <row r="832" spans="1:4" x14ac:dyDescent="0.25">
      <c r="A832" s="10" t="s">
        <v>138</v>
      </c>
      <c r="B832" t="s">
        <v>13</v>
      </c>
      <c r="C832">
        <v>100</v>
      </c>
      <c r="D832" t="s">
        <v>208</v>
      </c>
    </row>
    <row r="833" spans="1:4" x14ac:dyDescent="0.25">
      <c r="A833" s="10" t="s">
        <v>138</v>
      </c>
      <c r="B833" t="s">
        <v>36</v>
      </c>
      <c r="C833">
        <v>0.25</v>
      </c>
      <c r="D833" t="s">
        <v>215</v>
      </c>
    </row>
    <row r="834" spans="1:4" x14ac:dyDescent="0.25">
      <c r="A834" s="10" t="s">
        <v>138</v>
      </c>
      <c r="B834" t="s">
        <v>481</v>
      </c>
      <c r="C834">
        <f>15/4</f>
        <v>3.75</v>
      </c>
      <c r="D834" t="s">
        <v>208</v>
      </c>
    </row>
    <row r="835" spans="1:4" x14ac:dyDescent="0.25">
      <c r="A835" s="10" t="s">
        <v>138</v>
      </c>
      <c r="B835" t="s">
        <v>482</v>
      </c>
      <c r="C835">
        <f>350/4</f>
        <v>87.5</v>
      </c>
      <c r="D835" t="s">
        <v>208</v>
      </c>
    </row>
    <row r="836" spans="1:4" x14ac:dyDescent="0.25">
      <c r="A836" s="10" t="s">
        <v>138</v>
      </c>
      <c r="B836" t="s">
        <v>483</v>
      </c>
      <c r="C836">
        <v>125</v>
      </c>
      <c r="D836" t="s">
        <v>208</v>
      </c>
    </row>
    <row r="837" spans="1:4" x14ac:dyDescent="0.25">
      <c r="A837" s="10" t="s">
        <v>138</v>
      </c>
      <c r="B837" t="s">
        <v>210</v>
      </c>
      <c r="C837">
        <v>25</v>
      </c>
      <c r="D837" t="s">
        <v>208</v>
      </c>
    </row>
    <row r="839" spans="1:4" x14ac:dyDescent="0.25">
      <c r="A839" s="1" t="s">
        <v>62</v>
      </c>
      <c r="B839" t="s">
        <v>38</v>
      </c>
      <c r="C839">
        <v>2</v>
      </c>
      <c r="D839" t="s">
        <v>215</v>
      </c>
    </row>
    <row r="840" spans="1:4" x14ac:dyDescent="0.25">
      <c r="A840" s="10" t="s">
        <v>62</v>
      </c>
      <c r="B840" t="s">
        <v>45</v>
      </c>
      <c r="C840">
        <v>0.75</v>
      </c>
      <c r="D840" t="s">
        <v>215</v>
      </c>
    </row>
    <row r="841" spans="1:4" x14ac:dyDescent="0.25">
      <c r="A841" s="10" t="s">
        <v>62</v>
      </c>
      <c r="B841" t="s">
        <v>112</v>
      </c>
      <c r="C841">
        <v>1</v>
      </c>
      <c r="D841" t="s">
        <v>479</v>
      </c>
    </row>
    <row r="842" spans="1:4" x14ac:dyDescent="0.25">
      <c r="A842" s="10" t="s">
        <v>62</v>
      </c>
      <c r="B842" t="s">
        <v>457</v>
      </c>
      <c r="C842">
        <v>1.25</v>
      </c>
      <c r="D842" t="s">
        <v>213</v>
      </c>
    </row>
    <row r="843" spans="1:4" x14ac:dyDescent="0.25">
      <c r="A843" s="10" t="s">
        <v>62</v>
      </c>
      <c r="B843" t="s">
        <v>484</v>
      </c>
      <c r="C843">
        <v>0.375</v>
      </c>
      <c r="D843" t="s">
        <v>218</v>
      </c>
    </row>
    <row r="844" spans="1:4" x14ac:dyDescent="0.25">
      <c r="A844" s="10" t="s">
        <v>62</v>
      </c>
      <c r="B844" t="s">
        <v>110</v>
      </c>
      <c r="C844">
        <v>250</v>
      </c>
      <c r="D844" t="s">
        <v>230</v>
      </c>
    </row>
    <row r="845" spans="1:4" x14ac:dyDescent="0.25">
      <c r="A845" s="10" t="s">
        <v>62</v>
      </c>
      <c r="B845" t="s">
        <v>481</v>
      </c>
      <c r="C845">
        <v>2.5</v>
      </c>
      <c r="D845" t="s">
        <v>208</v>
      </c>
    </row>
    <row r="846" spans="1:4" x14ac:dyDescent="0.25">
      <c r="A846" s="10" t="s">
        <v>62</v>
      </c>
      <c r="B846" t="s">
        <v>80</v>
      </c>
      <c r="C846">
        <v>0.25</v>
      </c>
      <c r="D846" t="s">
        <v>215</v>
      </c>
    </row>
    <row r="847" spans="1:4" x14ac:dyDescent="0.25">
      <c r="A847" s="10" t="s">
        <v>62</v>
      </c>
      <c r="B847" t="s">
        <v>534</v>
      </c>
      <c r="C847">
        <v>25</v>
      </c>
      <c r="D847" t="s">
        <v>208</v>
      </c>
    </row>
    <row r="849" spans="1:4" x14ac:dyDescent="0.25">
      <c r="A849" s="1" t="s">
        <v>27</v>
      </c>
      <c r="B849" t="s">
        <v>112</v>
      </c>
      <c r="C849">
        <v>1</v>
      </c>
      <c r="D849" t="s">
        <v>479</v>
      </c>
    </row>
    <row r="850" spans="1:4" x14ac:dyDescent="0.25">
      <c r="A850" s="10" t="s">
        <v>27</v>
      </c>
      <c r="B850" t="s">
        <v>118</v>
      </c>
      <c r="C850">
        <v>1.75</v>
      </c>
      <c r="D850" t="s">
        <v>213</v>
      </c>
    </row>
    <row r="851" spans="1:4" x14ac:dyDescent="0.25">
      <c r="A851" s="10" t="s">
        <v>27</v>
      </c>
      <c r="B851" t="s">
        <v>65</v>
      </c>
      <c r="C851">
        <v>250</v>
      </c>
      <c r="D851" t="s">
        <v>208</v>
      </c>
    </row>
    <row r="852" spans="1:4" x14ac:dyDescent="0.25">
      <c r="A852" s="10" t="s">
        <v>27</v>
      </c>
      <c r="B852" t="s">
        <v>83</v>
      </c>
      <c r="C852">
        <v>200</v>
      </c>
      <c r="D852" t="s">
        <v>208</v>
      </c>
    </row>
    <row r="853" spans="1:4" x14ac:dyDescent="0.25">
      <c r="A853" s="10" t="s">
        <v>27</v>
      </c>
      <c r="B853" t="s">
        <v>96</v>
      </c>
      <c r="C853">
        <v>4</v>
      </c>
      <c r="D853" t="s">
        <v>208</v>
      </c>
    </row>
    <row r="854" spans="1:4" x14ac:dyDescent="0.25">
      <c r="A854" s="10" t="s">
        <v>27</v>
      </c>
      <c r="B854" t="s">
        <v>72</v>
      </c>
      <c r="C854">
        <v>62.5</v>
      </c>
      <c r="D854" t="s">
        <v>208</v>
      </c>
    </row>
    <row r="855" spans="1:4" x14ac:dyDescent="0.25">
      <c r="A855" s="10" t="s">
        <v>27</v>
      </c>
      <c r="B855" t="s">
        <v>76</v>
      </c>
      <c r="C855">
        <v>12.5</v>
      </c>
      <c r="D855" t="s">
        <v>208</v>
      </c>
    </row>
    <row r="856" spans="1:4" x14ac:dyDescent="0.25">
      <c r="A856" s="10" t="s">
        <v>27</v>
      </c>
      <c r="B856" t="s">
        <v>36</v>
      </c>
      <c r="C856">
        <v>0.5</v>
      </c>
      <c r="D856" t="s">
        <v>215</v>
      </c>
    </row>
    <row r="858" spans="1:4" x14ac:dyDescent="0.25">
      <c r="A858" s="1" t="s">
        <v>39</v>
      </c>
      <c r="B858" t="s">
        <v>485</v>
      </c>
      <c r="C858">
        <v>1</v>
      </c>
      <c r="D858" t="s">
        <v>215</v>
      </c>
    </row>
    <row r="859" spans="1:4" x14ac:dyDescent="0.25">
      <c r="A859" s="10" t="s">
        <v>39</v>
      </c>
      <c r="B859" t="s">
        <v>486</v>
      </c>
      <c r="C859">
        <v>1</v>
      </c>
      <c r="D859" t="s">
        <v>215</v>
      </c>
    </row>
    <row r="860" spans="1:4" x14ac:dyDescent="0.25">
      <c r="A860" s="10" t="s">
        <v>39</v>
      </c>
      <c r="B860" t="s">
        <v>53</v>
      </c>
      <c r="C860">
        <v>1</v>
      </c>
      <c r="D860" t="s">
        <v>487</v>
      </c>
    </row>
    <row r="861" spans="1:4" x14ac:dyDescent="0.25">
      <c r="A861" s="10" t="s">
        <v>39</v>
      </c>
      <c r="B861" t="s">
        <v>488</v>
      </c>
      <c r="C861">
        <v>0.5</v>
      </c>
      <c r="D861" t="s">
        <v>215</v>
      </c>
    </row>
    <row r="862" spans="1:4" x14ac:dyDescent="0.25">
      <c r="A862" s="10" t="s">
        <v>39</v>
      </c>
      <c r="B862" t="s">
        <v>163</v>
      </c>
      <c r="C862">
        <v>0.25</v>
      </c>
      <c r="D862" t="s">
        <v>215</v>
      </c>
    </row>
    <row r="863" spans="1:4" x14ac:dyDescent="0.25">
      <c r="A863" s="10" t="s">
        <v>39</v>
      </c>
      <c r="B863" t="s">
        <v>45</v>
      </c>
      <c r="C863">
        <v>0.5</v>
      </c>
      <c r="D863" t="s">
        <v>215</v>
      </c>
    </row>
    <row r="865" spans="1:4" x14ac:dyDescent="0.25">
      <c r="A865" s="1" t="s">
        <v>25</v>
      </c>
      <c r="B865" t="s">
        <v>489</v>
      </c>
      <c r="C865">
        <v>100</v>
      </c>
      <c r="D865" t="s">
        <v>208</v>
      </c>
    </row>
    <row r="866" spans="1:4" x14ac:dyDescent="0.25">
      <c r="A866" s="10" t="s">
        <v>25</v>
      </c>
      <c r="B866" t="s">
        <v>490</v>
      </c>
      <c r="C866">
        <v>50</v>
      </c>
      <c r="D866" t="s">
        <v>208</v>
      </c>
    </row>
    <row r="867" spans="1:4" x14ac:dyDescent="0.25">
      <c r="A867" s="10" t="s">
        <v>25</v>
      </c>
      <c r="B867" t="s">
        <v>491</v>
      </c>
      <c r="C867">
        <v>50</v>
      </c>
      <c r="D867" t="s">
        <v>208</v>
      </c>
    </row>
    <row r="868" spans="1:4" x14ac:dyDescent="0.25">
      <c r="A868" s="10" t="s">
        <v>25</v>
      </c>
      <c r="B868" t="s">
        <v>492</v>
      </c>
      <c r="C868">
        <v>1</v>
      </c>
      <c r="D868" t="s">
        <v>493</v>
      </c>
    </row>
    <row r="869" spans="1:4" x14ac:dyDescent="0.25">
      <c r="A869" s="10" t="s">
        <v>25</v>
      </c>
      <c r="B869" t="s">
        <v>494</v>
      </c>
      <c r="C869">
        <v>100</v>
      </c>
      <c r="D869" t="s">
        <v>208</v>
      </c>
    </row>
    <row r="870" spans="1:4" x14ac:dyDescent="0.25">
      <c r="A870" s="10" t="s">
        <v>25</v>
      </c>
      <c r="B870" t="s">
        <v>495</v>
      </c>
      <c r="C870">
        <v>50</v>
      </c>
      <c r="D870" t="s">
        <v>208</v>
      </c>
    </row>
    <row r="871" spans="1:4" x14ac:dyDescent="0.25">
      <c r="A871" s="10" t="s">
        <v>25</v>
      </c>
      <c r="B871" t="s">
        <v>496</v>
      </c>
      <c r="C871">
        <v>50</v>
      </c>
      <c r="D871" t="s">
        <v>208</v>
      </c>
    </row>
    <row r="873" spans="1:4" x14ac:dyDescent="0.25">
      <c r="A873" s="1" t="s">
        <v>20</v>
      </c>
      <c r="B873" t="s">
        <v>497</v>
      </c>
      <c r="C873">
        <v>250</v>
      </c>
      <c r="D873" t="s">
        <v>208</v>
      </c>
    </row>
    <row r="874" spans="1:4" x14ac:dyDescent="0.25">
      <c r="A874" s="10" t="s">
        <v>20</v>
      </c>
      <c r="B874" t="s">
        <v>498</v>
      </c>
      <c r="C874">
        <v>200</v>
      </c>
      <c r="D874" t="s">
        <v>208</v>
      </c>
    </row>
    <row r="875" spans="1:4" x14ac:dyDescent="0.25">
      <c r="A875" s="10" t="s">
        <v>20</v>
      </c>
      <c r="B875" t="s">
        <v>476</v>
      </c>
      <c r="C875">
        <v>75</v>
      </c>
      <c r="D875" t="s">
        <v>208</v>
      </c>
    </row>
    <row r="876" spans="1:4" x14ac:dyDescent="0.25">
      <c r="A876" s="10" t="s">
        <v>20</v>
      </c>
      <c r="B876" t="s">
        <v>346</v>
      </c>
      <c r="C876">
        <v>1</v>
      </c>
      <c r="D876" t="s">
        <v>215</v>
      </c>
    </row>
    <row r="877" spans="1:4" x14ac:dyDescent="0.25">
      <c r="A877" s="10" t="s">
        <v>20</v>
      </c>
      <c r="B877" t="s">
        <v>219</v>
      </c>
      <c r="C877">
        <v>0.5</v>
      </c>
      <c r="D877" t="s">
        <v>213</v>
      </c>
    </row>
    <row r="879" spans="1:4" x14ac:dyDescent="0.25">
      <c r="A879" s="1" t="s">
        <v>155</v>
      </c>
      <c r="B879" t="s">
        <v>155</v>
      </c>
      <c r="C879">
        <v>0.5</v>
      </c>
      <c r="D879" t="s">
        <v>215</v>
      </c>
    </row>
    <row r="880" spans="1:4" x14ac:dyDescent="0.25">
      <c r="A880" s="10" t="s">
        <v>155</v>
      </c>
      <c r="B880" t="s">
        <v>499</v>
      </c>
      <c r="C880">
        <v>0.5</v>
      </c>
      <c r="D880" t="s">
        <v>215</v>
      </c>
    </row>
    <row r="882" spans="1:4" x14ac:dyDescent="0.25">
      <c r="A882" s="1" t="s">
        <v>46</v>
      </c>
      <c r="B882" t="s">
        <v>8</v>
      </c>
      <c r="C882">
        <v>100</v>
      </c>
      <c r="D882" t="s">
        <v>208</v>
      </c>
    </row>
    <row r="883" spans="1:4" x14ac:dyDescent="0.25">
      <c r="A883" s="10" t="s">
        <v>46</v>
      </c>
      <c r="B883" t="s">
        <v>448</v>
      </c>
      <c r="C883">
        <v>25</v>
      </c>
      <c r="D883" t="s">
        <v>208</v>
      </c>
    </row>
    <row r="884" spans="1:4" x14ac:dyDescent="0.25">
      <c r="A884" s="10" t="s">
        <v>46</v>
      </c>
      <c r="B884" t="s">
        <v>83</v>
      </c>
      <c r="C884">
        <v>0.25</v>
      </c>
      <c r="D884" t="s">
        <v>288</v>
      </c>
    </row>
    <row r="885" spans="1:4" x14ac:dyDescent="0.25">
      <c r="A885" s="10" t="s">
        <v>46</v>
      </c>
      <c r="B885" t="s">
        <v>433</v>
      </c>
      <c r="C885">
        <v>0.5</v>
      </c>
      <c r="D885" t="s">
        <v>213</v>
      </c>
    </row>
    <row r="886" spans="1:4" x14ac:dyDescent="0.25">
      <c r="A886" s="10" t="s">
        <v>46</v>
      </c>
      <c r="B886" t="s">
        <v>118</v>
      </c>
      <c r="C886">
        <v>0.5</v>
      </c>
      <c r="D886" t="s">
        <v>213</v>
      </c>
    </row>
    <row r="887" spans="1:4" x14ac:dyDescent="0.25">
      <c r="A887" s="10" t="s">
        <v>46</v>
      </c>
      <c r="B887" t="s">
        <v>500</v>
      </c>
      <c r="C887">
        <v>0.5</v>
      </c>
      <c r="D887" t="s">
        <v>213</v>
      </c>
    </row>
    <row r="888" spans="1:4" x14ac:dyDescent="0.25">
      <c r="A888" s="10" t="s">
        <v>46</v>
      </c>
      <c r="B888" t="s">
        <v>412</v>
      </c>
      <c r="C888">
        <v>0.5</v>
      </c>
      <c r="D888" t="s">
        <v>213</v>
      </c>
    </row>
    <row r="889" spans="1:4" x14ac:dyDescent="0.25">
      <c r="A889" s="10" t="s">
        <v>46</v>
      </c>
      <c r="B889" t="s">
        <v>371</v>
      </c>
      <c r="C889">
        <v>0.5</v>
      </c>
      <c r="D889" t="s">
        <v>218</v>
      </c>
    </row>
    <row r="890" spans="1:4" x14ac:dyDescent="0.25">
      <c r="A890" s="10" t="s">
        <v>46</v>
      </c>
      <c r="B890" t="s">
        <v>237</v>
      </c>
      <c r="C890">
        <v>1</v>
      </c>
      <c r="D890" t="s">
        <v>556</v>
      </c>
    </row>
    <row r="891" spans="1:4" x14ac:dyDescent="0.25">
      <c r="A891" s="10" t="s">
        <v>46</v>
      </c>
      <c r="B891" t="s">
        <v>112</v>
      </c>
      <c r="C891">
        <v>1</v>
      </c>
      <c r="D891" t="s">
        <v>226</v>
      </c>
    </row>
    <row r="892" spans="1:4" x14ac:dyDescent="0.25">
      <c r="A892" s="10" t="s">
        <v>46</v>
      </c>
      <c r="B892" t="s">
        <v>45</v>
      </c>
      <c r="C892">
        <v>0.5</v>
      </c>
      <c r="D892" t="s">
        <v>215</v>
      </c>
    </row>
    <row r="893" spans="1:4" x14ac:dyDescent="0.25">
      <c r="A893" s="10" t="s">
        <v>46</v>
      </c>
      <c r="B893" t="s">
        <v>325</v>
      </c>
      <c r="C893">
        <v>1</v>
      </c>
      <c r="D893" t="s">
        <v>556</v>
      </c>
    </row>
    <row r="894" spans="1:4" x14ac:dyDescent="0.25">
      <c r="A894" s="10" t="s">
        <v>46</v>
      </c>
      <c r="B894" t="s">
        <v>181</v>
      </c>
      <c r="C894">
        <v>40</v>
      </c>
      <c r="D894" t="s">
        <v>208</v>
      </c>
    </row>
    <row r="895" spans="1:4" x14ac:dyDescent="0.25">
      <c r="A895" s="10" t="s">
        <v>46</v>
      </c>
      <c r="B895" t="s">
        <v>329</v>
      </c>
      <c r="C895">
        <v>175</v>
      </c>
      <c r="D895" t="s">
        <v>208</v>
      </c>
    </row>
    <row r="897" spans="1:4" x14ac:dyDescent="0.25">
      <c r="A897" s="1" t="s">
        <v>148</v>
      </c>
      <c r="B897" t="s">
        <v>336</v>
      </c>
      <c r="C897">
        <v>100</v>
      </c>
      <c r="D897" t="s">
        <v>208</v>
      </c>
    </row>
    <row r="898" spans="1:4" x14ac:dyDescent="0.25">
      <c r="A898" s="10" t="s">
        <v>148</v>
      </c>
      <c r="B898" t="s">
        <v>118</v>
      </c>
      <c r="C898">
        <v>1</v>
      </c>
      <c r="D898" t="s">
        <v>213</v>
      </c>
    </row>
    <row r="899" spans="1:4" x14ac:dyDescent="0.25">
      <c r="A899" s="10" t="s">
        <v>148</v>
      </c>
      <c r="B899" t="s">
        <v>309</v>
      </c>
      <c r="C899">
        <v>0.5</v>
      </c>
      <c r="D899" t="s">
        <v>218</v>
      </c>
    </row>
    <row r="900" spans="1:4" x14ac:dyDescent="0.25">
      <c r="A900" s="10" t="s">
        <v>148</v>
      </c>
      <c r="B900" t="s">
        <v>45</v>
      </c>
      <c r="C900">
        <v>0.5</v>
      </c>
      <c r="D900" t="s">
        <v>215</v>
      </c>
    </row>
    <row r="901" spans="1:4" x14ac:dyDescent="0.25">
      <c r="A901" s="10" t="s">
        <v>148</v>
      </c>
      <c r="B901" t="s">
        <v>112</v>
      </c>
      <c r="C901">
        <v>0.5</v>
      </c>
      <c r="D901" t="s">
        <v>226</v>
      </c>
    </row>
    <row r="902" spans="1:4" x14ac:dyDescent="0.25">
      <c r="A902" s="10" t="s">
        <v>148</v>
      </c>
      <c r="B902" t="s">
        <v>501</v>
      </c>
      <c r="C902">
        <v>62.5</v>
      </c>
      <c r="D902" t="s">
        <v>208</v>
      </c>
    </row>
    <row r="903" spans="1:4" x14ac:dyDescent="0.25">
      <c r="A903" s="10" t="s">
        <v>148</v>
      </c>
      <c r="B903" t="s">
        <v>227</v>
      </c>
      <c r="C903">
        <v>50</v>
      </c>
      <c r="D903" t="s">
        <v>208</v>
      </c>
    </row>
    <row r="904" spans="1:4" x14ac:dyDescent="0.25">
      <c r="A904" s="10" t="s">
        <v>148</v>
      </c>
      <c r="B904" t="s">
        <v>419</v>
      </c>
      <c r="C904">
        <v>3.75</v>
      </c>
      <c r="D904" t="s">
        <v>208</v>
      </c>
    </row>
    <row r="905" spans="1:4" x14ac:dyDescent="0.25">
      <c r="A905" s="10" t="s">
        <v>148</v>
      </c>
      <c r="B905" t="s">
        <v>181</v>
      </c>
      <c r="C905">
        <v>75</v>
      </c>
      <c r="D905" t="s">
        <v>208</v>
      </c>
    </row>
    <row r="906" spans="1:4" x14ac:dyDescent="0.25">
      <c r="A906" s="10" t="s">
        <v>148</v>
      </c>
      <c r="B906" t="s">
        <v>502</v>
      </c>
      <c r="C906">
        <v>100</v>
      </c>
      <c r="D906" t="s">
        <v>208</v>
      </c>
    </row>
    <row r="907" spans="1:4" x14ac:dyDescent="0.25">
      <c r="A907" s="10" t="s">
        <v>148</v>
      </c>
      <c r="B907" t="s">
        <v>446</v>
      </c>
      <c r="C907">
        <v>1.25</v>
      </c>
      <c r="D907" t="s">
        <v>208</v>
      </c>
    </row>
    <row r="909" spans="1:4" x14ac:dyDescent="0.25">
      <c r="A909" s="1" t="s">
        <v>70</v>
      </c>
      <c r="B909" t="s">
        <v>503</v>
      </c>
      <c r="C909">
        <v>200</v>
      </c>
      <c r="D909" t="s">
        <v>208</v>
      </c>
    </row>
    <row r="910" spans="1:4" x14ac:dyDescent="0.25">
      <c r="A910" s="10" t="s">
        <v>70</v>
      </c>
      <c r="B910" t="s">
        <v>118</v>
      </c>
      <c r="C910">
        <v>1</v>
      </c>
      <c r="D910" t="s">
        <v>213</v>
      </c>
    </row>
    <row r="911" spans="1:4" x14ac:dyDescent="0.25">
      <c r="A911" s="10" t="s">
        <v>70</v>
      </c>
      <c r="B911" t="s">
        <v>112</v>
      </c>
      <c r="C911">
        <v>0.5</v>
      </c>
      <c r="D911" t="s">
        <v>226</v>
      </c>
    </row>
    <row r="912" spans="1:4" x14ac:dyDescent="0.25">
      <c r="A912" s="10" t="s">
        <v>70</v>
      </c>
      <c r="B912" t="s">
        <v>257</v>
      </c>
      <c r="C912">
        <v>0.5</v>
      </c>
      <c r="D912" t="s">
        <v>215</v>
      </c>
    </row>
    <row r="913" spans="1:4" x14ac:dyDescent="0.25">
      <c r="A913" s="10" t="s">
        <v>70</v>
      </c>
      <c r="B913" t="s">
        <v>304</v>
      </c>
      <c r="C913">
        <v>0.25</v>
      </c>
      <c r="D913" t="s">
        <v>218</v>
      </c>
    </row>
    <row r="914" spans="1:4" x14ac:dyDescent="0.25">
      <c r="A914" s="10" t="s">
        <v>70</v>
      </c>
      <c r="B914" t="s">
        <v>13</v>
      </c>
      <c r="C914">
        <v>100</v>
      </c>
      <c r="D914" t="s">
        <v>208</v>
      </c>
    </row>
    <row r="915" spans="1:4" x14ac:dyDescent="0.25">
      <c r="A915" s="10" t="s">
        <v>70</v>
      </c>
      <c r="B915" t="s">
        <v>504</v>
      </c>
      <c r="C915">
        <v>100</v>
      </c>
      <c r="D915" t="s">
        <v>208</v>
      </c>
    </row>
    <row r="916" spans="1:4" x14ac:dyDescent="0.25">
      <c r="A916" s="10" t="s">
        <v>70</v>
      </c>
      <c r="B916" t="s">
        <v>61</v>
      </c>
      <c r="C916">
        <v>50</v>
      </c>
      <c r="D916" t="s">
        <v>208</v>
      </c>
    </row>
    <row r="917" spans="1:4" x14ac:dyDescent="0.25">
      <c r="A917" s="1"/>
    </row>
    <row r="918" spans="1:4" x14ac:dyDescent="0.25">
      <c r="A918" s="1" t="s">
        <v>39</v>
      </c>
    </row>
    <row r="919" spans="1:4" x14ac:dyDescent="0.25">
      <c r="A919" s="10" t="s">
        <v>39</v>
      </c>
      <c r="B919" t="s">
        <v>505</v>
      </c>
      <c r="C919">
        <v>1</v>
      </c>
      <c r="D919" t="s">
        <v>215</v>
      </c>
    </row>
    <row r="920" spans="1:4" x14ac:dyDescent="0.25">
      <c r="A920" s="10" t="s">
        <v>39</v>
      </c>
      <c r="B920" t="s">
        <v>506</v>
      </c>
      <c r="C920">
        <v>1</v>
      </c>
      <c r="D920" t="s">
        <v>215</v>
      </c>
    </row>
    <row r="921" spans="1:4" x14ac:dyDescent="0.25">
      <c r="A921" s="10" t="s">
        <v>39</v>
      </c>
      <c r="B921" t="s">
        <v>488</v>
      </c>
      <c r="C921">
        <v>0.5</v>
      </c>
      <c r="D921" t="s">
        <v>215</v>
      </c>
    </row>
    <row r="922" spans="1:4" x14ac:dyDescent="0.25">
      <c r="A922" s="10" t="s">
        <v>39</v>
      </c>
      <c r="B922" t="s">
        <v>507</v>
      </c>
      <c r="C922">
        <v>1</v>
      </c>
      <c r="D922" t="s">
        <v>215</v>
      </c>
    </row>
    <row r="923" spans="1:4" x14ac:dyDescent="0.25">
      <c r="A923" s="10" t="s">
        <v>39</v>
      </c>
      <c r="B923" t="s">
        <v>471</v>
      </c>
      <c r="C923">
        <v>1</v>
      </c>
      <c r="D923" t="s">
        <v>445</v>
      </c>
    </row>
    <row r="924" spans="1:4" x14ac:dyDescent="0.25">
      <c r="A924" s="10" t="s">
        <v>39</v>
      </c>
      <c r="B924" t="s">
        <v>163</v>
      </c>
      <c r="C924">
        <v>0.25</v>
      </c>
      <c r="D924" t="s">
        <v>215</v>
      </c>
    </row>
    <row r="925" spans="1:4" x14ac:dyDescent="0.25">
      <c r="A925" s="10" t="s">
        <v>39</v>
      </c>
      <c r="B925" t="s">
        <v>172</v>
      </c>
      <c r="C925">
        <v>1</v>
      </c>
      <c r="D925" t="s">
        <v>445</v>
      </c>
    </row>
    <row r="926" spans="1:4" x14ac:dyDescent="0.25">
      <c r="A926" s="10" t="s">
        <v>39</v>
      </c>
      <c r="B926" t="s">
        <v>45</v>
      </c>
      <c r="C926">
        <v>1</v>
      </c>
      <c r="D926" t="s">
        <v>215</v>
      </c>
    </row>
    <row r="928" spans="1:4" x14ac:dyDescent="0.25">
      <c r="A928" s="4" t="s">
        <v>508</v>
      </c>
      <c r="B928" t="s">
        <v>447</v>
      </c>
      <c r="C928">
        <v>75</v>
      </c>
      <c r="D928" t="s">
        <v>208</v>
      </c>
    </row>
    <row r="929" spans="1:4" x14ac:dyDescent="0.25">
      <c r="A929" s="10" t="s">
        <v>508</v>
      </c>
      <c r="B929" t="s">
        <v>509</v>
      </c>
      <c r="C929">
        <v>1</v>
      </c>
      <c r="D929" t="s">
        <v>215</v>
      </c>
    </row>
    <row r="930" spans="1:4" x14ac:dyDescent="0.25">
      <c r="A930" s="10" t="s">
        <v>508</v>
      </c>
      <c r="B930" t="s">
        <v>460</v>
      </c>
      <c r="C930">
        <v>1</v>
      </c>
      <c r="D930" t="s">
        <v>215</v>
      </c>
    </row>
    <row r="931" spans="1:4" x14ac:dyDescent="0.25">
      <c r="A931" s="10" t="s">
        <v>508</v>
      </c>
      <c r="B931" t="s">
        <v>510</v>
      </c>
      <c r="C931">
        <v>50</v>
      </c>
      <c r="D931" t="s">
        <v>208</v>
      </c>
    </row>
    <row r="932" spans="1:4" x14ac:dyDescent="0.25">
      <c r="A932" s="10" t="s">
        <v>508</v>
      </c>
      <c r="B932" t="s">
        <v>28</v>
      </c>
      <c r="C932">
        <v>75</v>
      </c>
      <c r="D932" t="s">
        <v>208</v>
      </c>
    </row>
    <row r="933" spans="1:4" x14ac:dyDescent="0.25">
      <c r="A933" s="10" t="s">
        <v>508</v>
      </c>
      <c r="B933" t="s">
        <v>379</v>
      </c>
      <c r="C933">
        <v>2</v>
      </c>
      <c r="D933" t="s">
        <v>487</v>
      </c>
    </row>
    <row r="934" spans="1:4" x14ac:dyDescent="0.25">
      <c r="A934" s="10" t="s">
        <v>508</v>
      </c>
      <c r="B934" t="s">
        <v>160</v>
      </c>
      <c r="C934">
        <v>0.5</v>
      </c>
      <c r="D934" t="s">
        <v>215</v>
      </c>
    </row>
    <row r="935" spans="1:4" x14ac:dyDescent="0.25">
      <c r="A935" s="10" t="s">
        <v>508</v>
      </c>
      <c r="B935" t="s">
        <v>96</v>
      </c>
      <c r="C935">
        <v>15</v>
      </c>
      <c r="D935" t="s">
        <v>208</v>
      </c>
    </row>
    <row r="936" spans="1:4" x14ac:dyDescent="0.25">
      <c r="A936" s="10" t="s">
        <v>508</v>
      </c>
      <c r="B936" t="s">
        <v>511</v>
      </c>
      <c r="C936">
        <v>1</v>
      </c>
      <c r="D936" t="s">
        <v>512</v>
      </c>
    </row>
    <row r="937" spans="1:4" x14ac:dyDescent="0.25">
      <c r="A937" s="10" t="s">
        <v>508</v>
      </c>
      <c r="B937" t="s">
        <v>334</v>
      </c>
      <c r="C937">
        <v>1</v>
      </c>
      <c r="D937" t="s">
        <v>218</v>
      </c>
    </row>
    <row r="938" spans="1:4" x14ac:dyDescent="0.25">
      <c r="A938" s="10" t="s">
        <v>508</v>
      </c>
      <c r="B938" t="s">
        <v>513</v>
      </c>
      <c r="C938">
        <v>1</v>
      </c>
      <c r="D938" t="s">
        <v>487</v>
      </c>
    </row>
    <row r="940" spans="1:4" x14ac:dyDescent="0.25">
      <c r="A940" s="4" t="s">
        <v>514</v>
      </c>
      <c r="B940" t="s">
        <v>515</v>
      </c>
      <c r="C940">
        <v>1</v>
      </c>
      <c r="D940" t="s">
        <v>215</v>
      </c>
    </row>
    <row r="941" spans="1:4" x14ac:dyDescent="0.25">
      <c r="A941" s="10" t="s">
        <v>514</v>
      </c>
      <c r="B941" t="s">
        <v>516</v>
      </c>
      <c r="C941">
        <v>1</v>
      </c>
      <c r="D941" t="s">
        <v>517</v>
      </c>
    </row>
    <row r="943" spans="1:4" x14ac:dyDescent="0.25">
      <c r="A943" s="1" t="s">
        <v>518</v>
      </c>
      <c r="B943" t="s">
        <v>519</v>
      </c>
      <c r="C943">
        <v>125</v>
      </c>
      <c r="D943" t="s">
        <v>208</v>
      </c>
    </row>
    <row r="944" spans="1:4" x14ac:dyDescent="0.25">
      <c r="A944" s="10" t="s">
        <v>518</v>
      </c>
      <c r="B944" t="s">
        <v>520</v>
      </c>
      <c r="C944">
        <v>150</v>
      </c>
      <c r="D944" t="s">
        <v>208</v>
      </c>
    </row>
    <row r="945" spans="1:4" x14ac:dyDescent="0.25">
      <c r="A945" s="10" t="s">
        <v>518</v>
      </c>
      <c r="B945" t="s">
        <v>112</v>
      </c>
      <c r="C945">
        <v>0.5</v>
      </c>
      <c r="D945" t="s">
        <v>521</v>
      </c>
    </row>
    <row r="946" spans="1:4" x14ac:dyDescent="0.25">
      <c r="A946" s="10" t="s">
        <v>518</v>
      </c>
      <c r="B946" t="s">
        <v>457</v>
      </c>
      <c r="C946">
        <v>1</v>
      </c>
      <c r="D946" t="s">
        <v>213</v>
      </c>
    </row>
    <row r="947" spans="1:4" x14ac:dyDescent="0.25">
      <c r="A947" s="10" t="s">
        <v>518</v>
      </c>
      <c r="B947" t="s">
        <v>223</v>
      </c>
      <c r="C947">
        <v>1</v>
      </c>
      <c r="D947" t="s">
        <v>213</v>
      </c>
    </row>
    <row r="948" spans="1:4" x14ac:dyDescent="0.25">
      <c r="A948" s="10" t="s">
        <v>518</v>
      </c>
      <c r="B948" t="s">
        <v>526</v>
      </c>
      <c r="C948">
        <v>35</v>
      </c>
      <c r="D948" t="s">
        <v>208</v>
      </c>
    </row>
    <row r="949" spans="1:4" x14ac:dyDescent="0.25">
      <c r="A949" s="10" t="s">
        <v>518</v>
      </c>
      <c r="B949" t="s">
        <v>96</v>
      </c>
      <c r="C949">
        <v>4</v>
      </c>
      <c r="D949" t="s">
        <v>208</v>
      </c>
    </row>
    <row r="950" spans="1:4" x14ac:dyDescent="0.25">
      <c r="A950" s="10" t="s">
        <v>518</v>
      </c>
      <c r="B950" t="s">
        <v>379</v>
      </c>
      <c r="C950">
        <v>2</v>
      </c>
      <c r="D950" t="s">
        <v>213</v>
      </c>
    </row>
    <row r="951" spans="1:4" x14ac:dyDescent="0.25">
      <c r="A951" s="10" t="s">
        <v>518</v>
      </c>
      <c r="B951" t="s">
        <v>522</v>
      </c>
      <c r="C951">
        <v>1</v>
      </c>
      <c r="D951" t="s">
        <v>218</v>
      </c>
    </row>
    <row r="953" spans="1:4" x14ac:dyDescent="0.25">
      <c r="A953" s="1" t="s">
        <v>523</v>
      </c>
      <c r="B953" t="s">
        <v>524</v>
      </c>
      <c r="C953">
        <v>175</v>
      </c>
      <c r="D953" t="s">
        <v>208</v>
      </c>
    </row>
    <row r="954" spans="1:4" x14ac:dyDescent="0.25">
      <c r="A954" s="10" t="s">
        <v>523</v>
      </c>
      <c r="B954" t="s">
        <v>525</v>
      </c>
      <c r="C954">
        <v>75</v>
      </c>
      <c r="D954" t="s">
        <v>208</v>
      </c>
    </row>
    <row r="955" spans="1:4" x14ac:dyDescent="0.25">
      <c r="A955" s="10" t="s">
        <v>523</v>
      </c>
      <c r="B955" t="s">
        <v>332</v>
      </c>
      <c r="C955">
        <v>50</v>
      </c>
      <c r="D955" t="s">
        <v>208</v>
      </c>
    </row>
    <row r="956" spans="1:4" x14ac:dyDescent="0.25">
      <c r="A956" s="10" t="s">
        <v>523</v>
      </c>
      <c r="B956" t="s">
        <v>112</v>
      </c>
      <c r="C956">
        <v>0.5</v>
      </c>
      <c r="D956" t="s">
        <v>479</v>
      </c>
    </row>
    <row r="957" spans="1:4" x14ac:dyDescent="0.25">
      <c r="A957" s="10" t="s">
        <v>523</v>
      </c>
      <c r="B957" t="s">
        <v>220</v>
      </c>
      <c r="C957">
        <v>0.25</v>
      </c>
      <c r="D957" t="s">
        <v>213</v>
      </c>
    </row>
    <row r="958" spans="1:4" x14ac:dyDescent="0.25">
      <c r="A958" s="10" t="s">
        <v>523</v>
      </c>
      <c r="B958" t="s">
        <v>259</v>
      </c>
      <c r="C958">
        <v>30</v>
      </c>
      <c r="D958" t="s">
        <v>208</v>
      </c>
    </row>
    <row r="959" spans="1:4" x14ac:dyDescent="0.25">
      <c r="A959" s="10" t="s">
        <v>523</v>
      </c>
      <c r="B959" t="s">
        <v>98</v>
      </c>
      <c r="C959">
        <v>0.5</v>
      </c>
      <c r="D959" t="s">
        <v>215</v>
      </c>
    </row>
    <row r="960" spans="1:4" x14ac:dyDescent="0.25">
      <c r="A960" s="10" t="s">
        <v>523</v>
      </c>
      <c r="B960" t="s">
        <v>248</v>
      </c>
      <c r="C960">
        <v>50</v>
      </c>
      <c r="D960" t="s">
        <v>208</v>
      </c>
    </row>
    <row r="962" spans="1:4" x14ac:dyDescent="0.25">
      <c r="A962" s="1" t="s">
        <v>527</v>
      </c>
      <c r="B962" t="s">
        <v>447</v>
      </c>
      <c r="C962">
        <v>75</v>
      </c>
      <c r="D962" t="s">
        <v>208</v>
      </c>
    </row>
    <row r="963" spans="1:4" x14ac:dyDescent="0.25">
      <c r="A963" s="10" t="s">
        <v>527</v>
      </c>
      <c r="B963" t="s">
        <v>408</v>
      </c>
      <c r="C963">
        <v>50</v>
      </c>
      <c r="D963" t="s">
        <v>208</v>
      </c>
    </row>
    <row r="964" spans="1:4" x14ac:dyDescent="0.25">
      <c r="A964" s="10" t="s">
        <v>527</v>
      </c>
      <c r="B964" t="s">
        <v>528</v>
      </c>
      <c r="C964">
        <v>60</v>
      </c>
      <c r="D964" t="s">
        <v>208</v>
      </c>
    </row>
    <row r="965" spans="1:4" x14ac:dyDescent="0.25">
      <c r="A965" s="10" t="s">
        <v>527</v>
      </c>
      <c r="B965" t="s">
        <v>329</v>
      </c>
      <c r="C965">
        <v>125</v>
      </c>
      <c r="D965" t="s">
        <v>208</v>
      </c>
    </row>
    <row r="966" spans="1:4" x14ac:dyDescent="0.25">
      <c r="A966" s="10" t="s">
        <v>527</v>
      </c>
      <c r="B966" t="s">
        <v>307</v>
      </c>
      <c r="C966">
        <v>0.25</v>
      </c>
      <c r="D966" t="s">
        <v>215</v>
      </c>
    </row>
    <row r="967" spans="1:4" x14ac:dyDescent="0.25">
      <c r="A967" s="10" t="s">
        <v>527</v>
      </c>
      <c r="B967" t="s">
        <v>529</v>
      </c>
      <c r="C967">
        <v>50</v>
      </c>
      <c r="D967" t="s">
        <v>208</v>
      </c>
    </row>
    <row r="968" spans="1:4" x14ac:dyDescent="0.25">
      <c r="A968" s="10" t="s">
        <v>527</v>
      </c>
      <c r="B968" t="s">
        <v>96</v>
      </c>
      <c r="C968">
        <v>7.5</v>
      </c>
      <c r="D968" t="s">
        <v>208</v>
      </c>
    </row>
    <row r="970" spans="1:4" x14ac:dyDescent="0.25">
      <c r="A970" s="1" t="s">
        <v>535</v>
      </c>
      <c r="B970" t="s">
        <v>530</v>
      </c>
      <c r="C970">
        <v>1</v>
      </c>
      <c r="D970" t="s">
        <v>215</v>
      </c>
    </row>
    <row r="971" spans="1:4" x14ac:dyDescent="0.25">
      <c r="A971" s="10" t="s">
        <v>535</v>
      </c>
      <c r="B971" t="s">
        <v>163</v>
      </c>
      <c r="C971">
        <v>0.25</v>
      </c>
      <c r="D971" t="s">
        <v>215</v>
      </c>
    </row>
    <row r="972" spans="1:4" x14ac:dyDescent="0.25">
      <c r="A972" s="10" t="s">
        <v>535</v>
      </c>
      <c r="B972" t="s">
        <v>165</v>
      </c>
      <c r="C972">
        <v>0.5</v>
      </c>
      <c r="D972" t="s">
        <v>215</v>
      </c>
    </row>
    <row r="973" spans="1:4" x14ac:dyDescent="0.25">
      <c r="A973" s="10" t="s">
        <v>535</v>
      </c>
      <c r="B973" t="s">
        <v>160</v>
      </c>
      <c r="C973">
        <v>0.5</v>
      </c>
      <c r="D973" t="s">
        <v>215</v>
      </c>
    </row>
    <row r="974" spans="1:4" x14ac:dyDescent="0.25">
      <c r="A974" s="10" t="s">
        <v>535</v>
      </c>
      <c r="B974" t="s">
        <v>361</v>
      </c>
      <c r="C974">
        <v>75</v>
      </c>
      <c r="D974" t="s">
        <v>208</v>
      </c>
    </row>
    <row r="975" spans="1:4" x14ac:dyDescent="0.25">
      <c r="A975" s="10" t="s">
        <v>535</v>
      </c>
      <c r="B975" t="s">
        <v>248</v>
      </c>
      <c r="C975">
        <v>37.5</v>
      </c>
      <c r="D975" t="s">
        <v>208</v>
      </c>
    </row>
    <row r="976" spans="1:4" x14ac:dyDescent="0.25">
      <c r="A976" s="10" t="s">
        <v>535</v>
      </c>
      <c r="B976" t="s">
        <v>188</v>
      </c>
      <c r="C976">
        <v>1</v>
      </c>
      <c r="D976" t="s">
        <v>213</v>
      </c>
    </row>
    <row r="977" spans="1:4" x14ac:dyDescent="0.25">
      <c r="A977" s="10" t="s">
        <v>535</v>
      </c>
      <c r="B977" t="s">
        <v>319</v>
      </c>
      <c r="C977">
        <v>1</v>
      </c>
      <c r="D977" t="s">
        <v>213</v>
      </c>
    </row>
    <row r="978" spans="1:4" x14ac:dyDescent="0.25">
      <c r="A978" s="10" t="s">
        <v>535</v>
      </c>
      <c r="B978" t="s">
        <v>195</v>
      </c>
      <c r="C978">
        <v>0.5</v>
      </c>
      <c r="D978" t="s">
        <v>213</v>
      </c>
    </row>
    <row r="979" spans="1:4" x14ac:dyDescent="0.25">
      <c r="A979" s="10" t="s">
        <v>535</v>
      </c>
      <c r="B979" t="s">
        <v>220</v>
      </c>
      <c r="C979">
        <v>1</v>
      </c>
      <c r="D979" t="s">
        <v>213</v>
      </c>
    </row>
    <row r="980" spans="1:4" x14ac:dyDescent="0.25">
      <c r="A980" s="10" t="s">
        <v>535</v>
      </c>
      <c r="B980" t="s">
        <v>187</v>
      </c>
      <c r="C980">
        <v>1</v>
      </c>
      <c r="D980" t="s">
        <v>218</v>
      </c>
    </row>
    <row r="981" spans="1:4" x14ac:dyDescent="0.25">
      <c r="A981" s="10" t="s">
        <v>535</v>
      </c>
      <c r="B981" t="s">
        <v>112</v>
      </c>
      <c r="C981">
        <v>0.5</v>
      </c>
      <c r="D981" t="s">
        <v>226</v>
      </c>
    </row>
    <row r="982" spans="1:4" x14ac:dyDescent="0.25">
      <c r="A982" s="10" t="s">
        <v>535</v>
      </c>
      <c r="B982" t="s">
        <v>307</v>
      </c>
      <c r="C982">
        <v>0.25</v>
      </c>
      <c r="D982" t="s">
        <v>215</v>
      </c>
    </row>
    <row r="984" spans="1:4" x14ac:dyDescent="0.25">
      <c r="A984" s="1" t="s">
        <v>536</v>
      </c>
      <c r="B984" t="s">
        <v>13</v>
      </c>
      <c r="C984">
        <v>150</v>
      </c>
      <c r="D984" t="s">
        <v>208</v>
      </c>
    </row>
    <row r="985" spans="1:4" x14ac:dyDescent="0.25">
      <c r="A985" s="10" t="s">
        <v>536</v>
      </c>
      <c r="B985" t="s">
        <v>118</v>
      </c>
      <c r="C985">
        <v>1</v>
      </c>
      <c r="D985" t="s">
        <v>213</v>
      </c>
    </row>
    <row r="986" spans="1:4" x14ac:dyDescent="0.25">
      <c r="A986" s="10" t="s">
        <v>536</v>
      </c>
      <c r="B986" t="s">
        <v>336</v>
      </c>
      <c r="C986">
        <v>75</v>
      </c>
      <c r="D986" t="s">
        <v>208</v>
      </c>
    </row>
    <row r="987" spans="1:4" x14ac:dyDescent="0.25">
      <c r="A987" s="10" t="s">
        <v>536</v>
      </c>
      <c r="B987" t="s">
        <v>537</v>
      </c>
      <c r="C987">
        <v>2</v>
      </c>
      <c r="D987" t="s">
        <v>213</v>
      </c>
    </row>
    <row r="988" spans="1:4" x14ac:dyDescent="0.25">
      <c r="A988" s="10" t="s">
        <v>536</v>
      </c>
      <c r="B988" t="s">
        <v>181</v>
      </c>
      <c r="C988">
        <v>100</v>
      </c>
      <c r="D988" t="s">
        <v>208</v>
      </c>
    </row>
    <row r="989" spans="1:4" x14ac:dyDescent="0.25">
      <c r="A989" s="10" t="s">
        <v>536</v>
      </c>
      <c r="B989" t="s">
        <v>538</v>
      </c>
      <c r="C989">
        <v>40</v>
      </c>
      <c r="D989" t="s">
        <v>208</v>
      </c>
    </row>
  </sheetData>
  <mergeCells count="2">
    <mergeCell ref="F145:G145"/>
    <mergeCell ref="F146:G146"/>
  </mergeCells>
  <conditionalFormatting sqref="A953">
    <cfRule type="duplicateValues" dxfId="1" priority="1"/>
  </conditionalFormatting>
  <pageMargins left="0.7" right="0.7" top="0.75" bottom="0.75" header="0.3" footer="0.3"/>
  <pageSetup paperSize="9" orientation="portrait" r:id="rId1"/>
  <headerFooter>
    <oddHeader>&amp;C&amp;"Aptos"&amp;10&amp;K000000 NATO UNCLASSIFIED&amp;1#_x000D_</oddHeader>
  </headerFooter>
  <ignoredErrors>
    <ignoredError sqref="C155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515D4-0B6C-45A3-BF4E-73EAEC1A3510}">
  <dimension ref="A1:A233"/>
  <sheetViews>
    <sheetView topLeftCell="A22" workbookViewId="0">
      <selection activeCell="A88" sqref="A2:A88"/>
    </sheetView>
  </sheetViews>
  <sheetFormatPr defaultRowHeight="15" x14ac:dyDescent="0.25"/>
  <cols>
    <col min="1" max="1" width="57.5703125" bestFit="1" customWidth="1"/>
  </cols>
  <sheetData>
    <row r="1" spans="1:1" x14ac:dyDescent="0.25">
      <c r="A1" s="1" t="s">
        <v>5</v>
      </c>
    </row>
    <row r="2" spans="1:1" x14ac:dyDescent="0.25">
      <c r="A2" t="s">
        <v>9</v>
      </c>
    </row>
    <row r="3" spans="1:1" x14ac:dyDescent="0.25">
      <c r="A3" t="s">
        <v>15</v>
      </c>
    </row>
    <row r="4" spans="1:1" x14ac:dyDescent="0.25">
      <c r="A4" t="s">
        <v>20</v>
      </c>
    </row>
    <row r="5" spans="1:1" x14ac:dyDescent="0.25">
      <c r="A5" t="s">
        <v>25</v>
      </c>
    </row>
    <row r="6" spans="1:1" x14ac:dyDescent="0.25">
      <c r="A6" t="s">
        <v>29</v>
      </c>
    </row>
    <row r="7" spans="1:1" x14ac:dyDescent="0.25">
      <c r="A7" t="s">
        <v>33</v>
      </c>
    </row>
    <row r="8" spans="1:1" x14ac:dyDescent="0.25">
      <c r="A8" t="s">
        <v>37</v>
      </c>
    </row>
    <row r="9" spans="1:1" x14ac:dyDescent="0.25">
      <c r="A9" t="s">
        <v>39</v>
      </c>
    </row>
    <row r="10" spans="1:1" x14ac:dyDescent="0.25">
      <c r="A10" t="s">
        <v>41</v>
      </c>
    </row>
    <row r="11" spans="1:1" x14ac:dyDescent="0.25">
      <c r="A11" t="s">
        <v>44</v>
      </c>
    </row>
    <row r="12" spans="1:1" x14ac:dyDescent="0.25">
      <c r="A12" t="s">
        <v>22</v>
      </c>
    </row>
    <row r="13" spans="1:1" x14ac:dyDescent="0.25">
      <c r="A13" t="s">
        <v>46</v>
      </c>
    </row>
    <row r="14" spans="1:1" x14ac:dyDescent="0.25">
      <c r="A14" t="s">
        <v>48</v>
      </c>
    </row>
    <row r="15" spans="1:1" x14ac:dyDescent="0.25">
      <c r="A15" t="s">
        <v>50</v>
      </c>
    </row>
    <row r="16" spans="1:1" x14ac:dyDescent="0.25">
      <c r="A16" t="s">
        <v>52</v>
      </c>
    </row>
    <row r="17" spans="1:1" x14ac:dyDescent="0.25">
      <c r="A17" t="s">
        <v>54</v>
      </c>
    </row>
    <row r="18" spans="1:1" x14ac:dyDescent="0.25">
      <c r="A18" t="s">
        <v>56</v>
      </c>
    </row>
    <row r="19" spans="1:1" x14ac:dyDescent="0.25">
      <c r="A19" t="s">
        <v>57</v>
      </c>
    </row>
    <row r="20" spans="1:1" x14ac:dyDescent="0.25">
      <c r="A20" t="s">
        <v>60</v>
      </c>
    </row>
    <row r="21" spans="1:1" x14ac:dyDescent="0.25">
      <c r="A21" t="s">
        <v>62</v>
      </c>
    </row>
    <row r="22" spans="1:1" x14ac:dyDescent="0.25">
      <c r="A22" t="s">
        <v>64</v>
      </c>
    </row>
    <row r="23" spans="1:1" x14ac:dyDescent="0.25">
      <c r="A23" t="s">
        <v>66</v>
      </c>
    </row>
    <row r="24" spans="1:1" x14ac:dyDescent="0.25">
      <c r="A24" t="s">
        <v>68</v>
      </c>
    </row>
    <row r="25" spans="1:1" x14ac:dyDescent="0.25">
      <c r="A25" t="s">
        <v>70</v>
      </c>
    </row>
    <row r="26" spans="1:1" x14ac:dyDescent="0.25">
      <c r="A26" t="s">
        <v>27</v>
      </c>
    </row>
    <row r="27" spans="1:1" x14ac:dyDescent="0.25">
      <c r="A27" t="s">
        <v>74</v>
      </c>
    </row>
    <row r="28" spans="1:1" x14ac:dyDescent="0.25">
      <c r="A28" t="s">
        <v>75</v>
      </c>
    </row>
    <row r="29" spans="1:1" x14ac:dyDescent="0.25">
      <c r="A29" t="s">
        <v>77</v>
      </c>
    </row>
    <row r="30" spans="1:1" x14ac:dyDescent="0.25">
      <c r="A30" t="s">
        <v>79</v>
      </c>
    </row>
    <row r="31" spans="1:1" x14ac:dyDescent="0.25">
      <c r="A31" t="s">
        <v>82</v>
      </c>
    </row>
    <row r="32" spans="1:1" x14ac:dyDescent="0.25">
      <c r="A32" s="11" t="s">
        <v>84</v>
      </c>
    </row>
    <row r="33" spans="1:1" x14ac:dyDescent="0.25">
      <c r="A33" t="s">
        <v>86</v>
      </c>
    </row>
    <row r="34" spans="1:1" x14ac:dyDescent="0.25">
      <c r="A34" s="11" t="s">
        <v>89</v>
      </c>
    </row>
    <row r="35" spans="1:1" x14ac:dyDescent="0.25">
      <c r="A35" t="s">
        <v>91</v>
      </c>
    </row>
    <row r="36" spans="1:1" x14ac:dyDescent="0.25">
      <c r="A36" t="s">
        <v>93</v>
      </c>
    </row>
    <row r="37" spans="1:1" x14ac:dyDescent="0.25">
      <c r="A37" t="s">
        <v>95</v>
      </c>
    </row>
    <row r="38" spans="1:1" x14ac:dyDescent="0.25">
      <c r="A38" t="s">
        <v>97</v>
      </c>
    </row>
    <row r="39" spans="1:1" x14ac:dyDescent="0.25">
      <c r="A39" t="s">
        <v>99</v>
      </c>
    </row>
    <row r="40" spans="1:1" x14ac:dyDescent="0.25">
      <c r="A40" t="s">
        <v>101</v>
      </c>
    </row>
    <row r="41" spans="1:1" x14ac:dyDescent="0.25">
      <c r="A41" t="s">
        <v>102</v>
      </c>
    </row>
    <row r="42" spans="1:1" x14ac:dyDescent="0.25">
      <c r="A42" t="s">
        <v>105</v>
      </c>
    </row>
    <row r="43" spans="1:1" x14ac:dyDescent="0.25">
      <c r="A43" t="s">
        <v>35</v>
      </c>
    </row>
    <row r="44" spans="1:1" x14ac:dyDescent="0.25">
      <c r="A44" t="s">
        <v>109</v>
      </c>
    </row>
    <row r="45" spans="1:1" x14ac:dyDescent="0.25">
      <c r="A45" t="s">
        <v>111</v>
      </c>
    </row>
    <row r="46" spans="1:1" x14ac:dyDescent="0.25">
      <c r="A46" t="s">
        <v>113</v>
      </c>
    </row>
    <row r="47" spans="1:1" x14ac:dyDescent="0.25">
      <c r="A47" t="s">
        <v>114</v>
      </c>
    </row>
    <row r="48" spans="1:1" x14ac:dyDescent="0.25">
      <c r="A48" t="s">
        <v>116</v>
      </c>
    </row>
    <row r="49" spans="1:1" x14ac:dyDescent="0.25">
      <c r="A49" t="s">
        <v>7</v>
      </c>
    </row>
    <row r="50" spans="1:1" x14ac:dyDescent="0.25">
      <c r="A50" t="s">
        <v>119</v>
      </c>
    </row>
    <row r="51" spans="1:1" x14ac:dyDescent="0.25">
      <c r="A51" t="s">
        <v>121</v>
      </c>
    </row>
    <row r="52" spans="1:1" x14ac:dyDescent="0.25">
      <c r="A52" t="s">
        <v>123</v>
      </c>
    </row>
    <row r="53" spans="1:1" x14ac:dyDescent="0.25">
      <c r="A53" t="s">
        <v>126</v>
      </c>
    </row>
    <row r="54" spans="1:1" x14ac:dyDescent="0.25">
      <c r="A54" t="s">
        <v>127</v>
      </c>
    </row>
    <row r="55" spans="1:1" x14ac:dyDescent="0.25">
      <c r="A55" t="s">
        <v>17</v>
      </c>
    </row>
    <row r="56" spans="1:1" x14ac:dyDescent="0.25">
      <c r="A56" t="s">
        <v>129</v>
      </c>
    </row>
    <row r="57" spans="1:1" x14ac:dyDescent="0.25">
      <c r="A57" t="s">
        <v>130</v>
      </c>
    </row>
    <row r="58" spans="1:1" x14ac:dyDescent="0.25">
      <c r="A58" t="s">
        <v>131</v>
      </c>
    </row>
    <row r="59" spans="1:1" x14ac:dyDescent="0.25">
      <c r="A59" t="s">
        <v>132</v>
      </c>
    </row>
    <row r="60" spans="1:1" x14ac:dyDescent="0.25">
      <c r="A60" t="s">
        <v>133</v>
      </c>
    </row>
    <row r="61" spans="1:1" x14ac:dyDescent="0.25">
      <c r="A61" t="s">
        <v>134</v>
      </c>
    </row>
    <row r="62" spans="1:1" x14ac:dyDescent="0.25">
      <c r="A62" t="s">
        <v>135</v>
      </c>
    </row>
    <row r="63" spans="1:1" x14ac:dyDescent="0.25">
      <c r="A63" t="s">
        <v>136</v>
      </c>
    </row>
    <row r="64" spans="1:1" x14ac:dyDescent="0.25">
      <c r="A64" t="s">
        <v>137</v>
      </c>
    </row>
    <row r="65" spans="1:1" x14ac:dyDescent="0.25">
      <c r="A65" t="s">
        <v>138</v>
      </c>
    </row>
    <row r="66" spans="1:1" x14ac:dyDescent="0.25">
      <c r="A66" t="s">
        <v>139</v>
      </c>
    </row>
    <row r="67" spans="1:1" x14ac:dyDescent="0.25">
      <c r="A67" t="s">
        <v>140</v>
      </c>
    </row>
    <row r="68" spans="1:1" x14ac:dyDescent="0.25">
      <c r="A68" t="s">
        <v>141</v>
      </c>
    </row>
    <row r="69" spans="1:1" x14ac:dyDescent="0.25">
      <c r="A69" t="s">
        <v>31</v>
      </c>
    </row>
    <row r="70" spans="1:1" x14ac:dyDescent="0.25">
      <c r="A70" t="s">
        <v>142</v>
      </c>
    </row>
    <row r="71" spans="1:1" x14ac:dyDescent="0.25">
      <c r="A71" t="s">
        <v>143</v>
      </c>
    </row>
    <row r="72" spans="1:1" x14ac:dyDescent="0.25">
      <c r="A72" t="s">
        <v>144</v>
      </c>
    </row>
    <row r="73" spans="1:1" x14ac:dyDescent="0.25">
      <c r="A73" t="s">
        <v>145</v>
      </c>
    </row>
    <row r="74" spans="1:1" x14ac:dyDescent="0.25">
      <c r="A74" t="s">
        <v>146</v>
      </c>
    </row>
    <row r="75" spans="1:1" x14ac:dyDescent="0.25">
      <c r="A75" t="s">
        <v>147</v>
      </c>
    </row>
    <row r="76" spans="1:1" x14ac:dyDescent="0.25">
      <c r="A76" t="s">
        <v>148</v>
      </c>
    </row>
    <row r="77" spans="1:1" x14ac:dyDescent="0.25">
      <c r="A77" t="s">
        <v>149</v>
      </c>
    </row>
    <row r="78" spans="1:1" x14ac:dyDescent="0.25">
      <c r="A78" t="s">
        <v>150</v>
      </c>
    </row>
    <row r="79" spans="1:1" x14ac:dyDescent="0.25">
      <c r="A79" t="s">
        <v>151</v>
      </c>
    </row>
    <row r="80" spans="1:1" x14ac:dyDescent="0.25">
      <c r="A80" t="s">
        <v>152</v>
      </c>
    </row>
    <row r="81" spans="1:1" x14ac:dyDescent="0.25">
      <c r="A81" t="s">
        <v>153</v>
      </c>
    </row>
    <row r="82" spans="1:1" x14ac:dyDescent="0.25">
      <c r="A82" t="s">
        <v>154</v>
      </c>
    </row>
    <row r="83" spans="1:1" x14ac:dyDescent="0.25">
      <c r="A83" t="s">
        <v>11</v>
      </c>
    </row>
    <row r="84" spans="1:1" x14ac:dyDescent="0.25">
      <c r="A84" t="s">
        <v>155</v>
      </c>
    </row>
    <row r="85" spans="1:1" x14ac:dyDescent="0.25">
      <c r="A85" t="s">
        <v>156</v>
      </c>
    </row>
    <row r="86" spans="1:1" x14ac:dyDescent="0.25">
      <c r="A86" t="s">
        <v>157</v>
      </c>
    </row>
    <row r="87" spans="1:1" x14ac:dyDescent="0.25">
      <c r="A87" t="s">
        <v>158</v>
      </c>
    </row>
    <row r="88" spans="1:1" x14ac:dyDescent="0.25">
      <c r="A88" t="s">
        <v>159</v>
      </c>
    </row>
    <row r="89" spans="1:1" x14ac:dyDescent="0.25">
      <c r="A89" s="1"/>
    </row>
    <row r="90" spans="1:1" x14ac:dyDescent="0.25">
      <c r="A90" s="1"/>
    </row>
    <row r="91" spans="1:1" x14ac:dyDescent="0.25">
      <c r="A91" s="3"/>
    </row>
    <row r="94" spans="1:1" x14ac:dyDescent="0.25">
      <c r="A94" s="3"/>
    </row>
    <row r="96" spans="1:1" x14ac:dyDescent="0.25">
      <c r="A96" s="3"/>
    </row>
    <row r="97" spans="1:1" x14ac:dyDescent="0.25">
      <c r="A97" s="3"/>
    </row>
    <row r="170" spans="1:1" x14ac:dyDescent="0.25">
      <c r="A170" s="1"/>
    </row>
    <row r="172" spans="1:1" x14ac:dyDescent="0.25">
      <c r="A172" s="4" t="s">
        <v>508</v>
      </c>
    </row>
    <row r="173" spans="1:1" x14ac:dyDescent="0.25">
      <c r="A173" s="10" t="s">
        <v>508</v>
      </c>
    </row>
    <row r="174" spans="1:1" x14ac:dyDescent="0.25">
      <c r="A174" s="10" t="s">
        <v>508</v>
      </c>
    </row>
    <row r="175" spans="1:1" x14ac:dyDescent="0.25">
      <c r="A175" s="10" t="s">
        <v>508</v>
      </c>
    </row>
    <row r="176" spans="1:1" x14ac:dyDescent="0.25">
      <c r="A176" s="10" t="s">
        <v>508</v>
      </c>
    </row>
    <row r="177" spans="1:1" x14ac:dyDescent="0.25">
      <c r="A177" s="10" t="s">
        <v>508</v>
      </c>
    </row>
    <row r="178" spans="1:1" x14ac:dyDescent="0.25">
      <c r="A178" s="10" t="s">
        <v>508</v>
      </c>
    </row>
    <row r="179" spans="1:1" x14ac:dyDescent="0.25">
      <c r="A179" s="10" t="s">
        <v>508</v>
      </c>
    </row>
    <row r="180" spans="1:1" x14ac:dyDescent="0.25">
      <c r="A180" s="10" t="s">
        <v>508</v>
      </c>
    </row>
    <row r="181" spans="1:1" x14ac:dyDescent="0.25">
      <c r="A181" s="10" t="s">
        <v>508</v>
      </c>
    </row>
    <row r="182" spans="1:1" x14ac:dyDescent="0.25">
      <c r="A182" s="10" t="s">
        <v>508</v>
      </c>
    </row>
    <row r="184" spans="1:1" x14ac:dyDescent="0.25">
      <c r="A184" s="4" t="s">
        <v>514</v>
      </c>
    </row>
    <row r="185" spans="1:1" x14ac:dyDescent="0.25">
      <c r="A185" s="10" t="s">
        <v>514</v>
      </c>
    </row>
    <row r="187" spans="1:1" x14ac:dyDescent="0.25">
      <c r="A187" s="1" t="s">
        <v>518</v>
      </c>
    </row>
    <row r="188" spans="1:1" x14ac:dyDescent="0.25">
      <c r="A188" s="10" t="s">
        <v>518</v>
      </c>
    </row>
    <row r="189" spans="1:1" x14ac:dyDescent="0.25">
      <c r="A189" s="10" t="s">
        <v>518</v>
      </c>
    </row>
    <row r="190" spans="1:1" x14ac:dyDescent="0.25">
      <c r="A190" s="10" t="s">
        <v>518</v>
      </c>
    </row>
    <row r="191" spans="1:1" x14ac:dyDescent="0.25">
      <c r="A191" s="10" t="s">
        <v>518</v>
      </c>
    </row>
    <row r="192" spans="1:1" x14ac:dyDescent="0.25">
      <c r="A192" s="10" t="s">
        <v>518</v>
      </c>
    </row>
    <row r="193" spans="1:1" x14ac:dyDescent="0.25">
      <c r="A193" s="10" t="s">
        <v>518</v>
      </c>
    </row>
    <row r="194" spans="1:1" x14ac:dyDescent="0.25">
      <c r="A194" s="10" t="s">
        <v>518</v>
      </c>
    </row>
    <row r="195" spans="1:1" x14ac:dyDescent="0.25">
      <c r="A195" s="10" t="s">
        <v>518</v>
      </c>
    </row>
    <row r="197" spans="1:1" x14ac:dyDescent="0.25">
      <c r="A197" s="1" t="s">
        <v>523</v>
      </c>
    </row>
    <row r="198" spans="1:1" x14ac:dyDescent="0.25">
      <c r="A198" s="10" t="s">
        <v>523</v>
      </c>
    </row>
    <row r="199" spans="1:1" x14ac:dyDescent="0.25">
      <c r="A199" s="10" t="s">
        <v>523</v>
      </c>
    </row>
    <row r="200" spans="1:1" x14ac:dyDescent="0.25">
      <c r="A200" s="10" t="s">
        <v>523</v>
      </c>
    </row>
    <row r="201" spans="1:1" x14ac:dyDescent="0.25">
      <c r="A201" s="10" t="s">
        <v>523</v>
      </c>
    </row>
    <row r="202" spans="1:1" x14ac:dyDescent="0.25">
      <c r="A202" s="10" t="s">
        <v>523</v>
      </c>
    </row>
    <row r="203" spans="1:1" x14ac:dyDescent="0.25">
      <c r="A203" s="10" t="s">
        <v>523</v>
      </c>
    </row>
    <row r="204" spans="1:1" x14ac:dyDescent="0.25">
      <c r="A204" s="10" t="s">
        <v>523</v>
      </c>
    </row>
    <row r="206" spans="1:1" x14ac:dyDescent="0.25">
      <c r="A206" s="1" t="s">
        <v>527</v>
      </c>
    </row>
    <row r="207" spans="1:1" x14ac:dyDescent="0.25">
      <c r="A207" s="10" t="s">
        <v>527</v>
      </c>
    </row>
    <row r="208" spans="1:1" x14ac:dyDescent="0.25">
      <c r="A208" s="10" t="s">
        <v>527</v>
      </c>
    </row>
    <row r="209" spans="1:1" x14ac:dyDescent="0.25">
      <c r="A209" s="10" t="s">
        <v>527</v>
      </c>
    </row>
    <row r="210" spans="1:1" x14ac:dyDescent="0.25">
      <c r="A210" s="10" t="s">
        <v>527</v>
      </c>
    </row>
    <row r="211" spans="1:1" x14ac:dyDescent="0.25">
      <c r="A211" s="10" t="s">
        <v>527</v>
      </c>
    </row>
    <row r="212" spans="1:1" x14ac:dyDescent="0.25">
      <c r="A212" s="10" t="s">
        <v>527</v>
      </c>
    </row>
    <row r="214" spans="1:1" x14ac:dyDescent="0.25">
      <c r="A214" s="1" t="s">
        <v>535</v>
      </c>
    </row>
    <row r="215" spans="1:1" x14ac:dyDescent="0.25">
      <c r="A215" s="10" t="s">
        <v>535</v>
      </c>
    </row>
    <row r="216" spans="1:1" x14ac:dyDescent="0.25">
      <c r="A216" s="10" t="s">
        <v>535</v>
      </c>
    </row>
    <row r="217" spans="1:1" x14ac:dyDescent="0.25">
      <c r="A217" s="10" t="s">
        <v>535</v>
      </c>
    </row>
    <row r="218" spans="1:1" x14ac:dyDescent="0.25">
      <c r="A218" s="10" t="s">
        <v>535</v>
      </c>
    </row>
    <row r="219" spans="1:1" x14ac:dyDescent="0.25">
      <c r="A219" s="10" t="s">
        <v>535</v>
      </c>
    </row>
    <row r="220" spans="1:1" x14ac:dyDescent="0.25">
      <c r="A220" s="10" t="s">
        <v>535</v>
      </c>
    </row>
    <row r="221" spans="1:1" x14ac:dyDescent="0.25">
      <c r="A221" s="10" t="s">
        <v>535</v>
      </c>
    </row>
    <row r="222" spans="1:1" x14ac:dyDescent="0.25">
      <c r="A222" s="10" t="s">
        <v>535</v>
      </c>
    </row>
    <row r="223" spans="1:1" x14ac:dyDescent="0.25">
      <c r="A223" s="10" t="s">
        <v>535</v>
      </c>
    </row>
    <row r="224" spans="1:1" x14ac:dyDescent="0.25">
      <c r="A224" s="10" t="s">
        <v>535</v>
      </c>
    </row>
    <row r="225" spans="1:1" x14ac:dyDescent="0.25">
      <c r="A225" s="10" t="s">
        <v>535</v>
      </c>
    </row>
    <row r="226" spans="1:1" x14ac:dyDescent="0.25">
      <c r="A226" s="10" t="s">
        <v>535</v>
      </c>
    </row>
    <row r="228" spans="1:1" x14ac:dyDescent="0.25">
      <c r="A228" s="1" t="s">
        <v>536</v>
      </c>
    </row>
    <row r="229" spans="1:1" x14ac:dyDescent="0.25">
      <c r="A229" s="10" t="s">
        <v>536</v>
      </c>
    </row>
    <row r="230" spans="1:1" x14ac:dyDescent="0.25">
      <c r="A230" s="10" t="s">
        <v>536</v>
      </c>
    </row>
    <row r="231" spans="1:1" x14ac:dyDescent="0.25">
      <c r="A231" s="10" t="s">
        <v>536</v>
      </c>
    </row>
    <row r="232" spans="1:1" x14ac:dyDescent="0.25">
      <c r="A232" s="10" t="s">
        <v>536</v>
      </c>
    </row>
    <row r="233" spans="1:1" x14ac:dyDescent="0.25">
      <c r="A233" s="10" t="s">
        <v>536</v>
      </c>
    </row>
  </sheetData>
  <autoFilter ref="A1:A170" xr:uid="{4CA515D4-0B6C-45A3-BF4E-73EAEC1A3510}">
    <sortState xmlns:xlrd2="http://schemas.microsoft.com/office/spreadsheetml/2017/richdata2" ref="A2:A170">
      <sortCondition ref="A1:A170"/>
    </sortState>
  </autoFilter>
  <conditionalFormatting sqref="A197">
    <cfRule type="duplicateValues" dxfId="0" priority="1"/>
  </conditionalFormatting>
  <pageMargins left="0.7" right="0.7" top="0.75" bottom="0.75" header="0.3" footer="0.3"/>
  <headerFooter>
    <oddHeader>&amp;C&amp;"Aptos"&amp;10&amp;K000000 NATO UNCLASSIFIED&amp;1#_x000D_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Weekplanner</vt:lpstr>
      <vt:lpstr>Blad1</vt:lpstr>
      <vt:lpstr>Wensenlijst</vt:lpstr>
      <vt:lpstr>Database</vt:lpstr>
      <vt:lpstr>Blad2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Marie Elise</dc:creator>
  <cp:keywords/>
  <dc:description/>
  <cp:lastModifiedBy>Erick Wilts</cp:lastModifiedBy>
  <cp:revision/>
  <dcterms:created xsi:type="dcterms:W3CDTF">2024-01-04T12:49:57Z</dcterms:created>
  <dcterms:modified xsi:type="dcterms:W3CDTF">2026-02-05T10:35:53Z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1172fb5-86d0-42cb-ba27-645bef134c04_Enabled">
    <vt:lpwstr>true</vt:lpwstr>
  </property>
  <property fmtid="{D5CDD505-2E9C-101B-9397-08002B2CF9AE}" pid="3" name="MSIP_Label_81172fb5-86d0-42cb-ba27-645bef134c04_SetDate">
    <vt:lpwstr>2025-10-31T15:01:04Z</vt:lpwstr>
  </property>
  <property fmtid="{D5CDD505-2E9C-101B-9397-08002B2CF9AE}" pid="4" name="MSIP_Label_81172fb5-86d0-42cb-ba27-645bef134c04_Method">
    <vt:lpwstr>Standard</vt:lpwstr>
  </property>
  <property fmtid="{D5CDD505-2E9C-101B-9397-08002B2CF9AE}" pid="5" name="MSIP_Label_81172fb5-86d0-42cb-ba27-645bef134c04_Name">
    <vt:lpwstr>NATO Unclassified</vt:lpwstr>
  </property>
  <property fmtid="{D5CDD505-2E9C-101B-9397-08002B2CF9AE}" pid="6" name="MSIP_Label_81172fb5-86d0-42cb-ba27-645bef134c04_SiteId">
    <vt:lpwstr>4e058d4f-695c-4815-91b9-3bea0bf19c06</vt:lpwstr>
  </property>
  <property fmtid="{D5CDD505-2E9C-101B-9397-08002B2CF9AE}" pid="7" name="MSIP_Label_81172fb5-86d0-42cb-ba27-645bef134c04_ActionId">
    <vt:lpwstr>116c0cc6-ec0d-4263-9815-7de2646ecc23</vt:lpwstr>
  </property>
  <property fmtid="{D5CDD505-2E9C-101B-9397-08002B2CF9AE}" pid="8" name="MSIP_Label_81172fb5-86d0-42cb-ba27-645bef134c04_ContentBits">
    <vt:lpwstr>1</vt:lpwstr>
  </property>
  <property fmtid="{D5CDD505-2E9C-101B-9397-08002B2CF9AE}" pid="9" name="MSIP_Label_81172fb5-86d0-42cb-ba27-645bef134c04_Tag">
    <vt:lpwstr>10, 3, 0, 1</vt:lpwstr>
  </property>
</Properties>
</file>